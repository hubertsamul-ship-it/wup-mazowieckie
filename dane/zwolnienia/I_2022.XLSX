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2\"/>
    </mc:Choice>
  </mc:AlternateContent>
  <bookViews>
    <workbookView xWindow="0" yWindow="0" windowWidth="28800" windowHeight="11772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dane!$A$1:$O$27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C18" i="5" l="1"/>
  <c r="C17" i="5"/>
  <c r="C16" i="5"/>
  <c r="K28" i="5" l="1"/>
  <c r="L28" i="5"/>
  <c r="G28" i="5"/>
  <c r="E2" i="5" l="1"/>
  <c r="D2" i="5"/>
  <c r="C2" i="5" l="1"/>
</calcChain>
</file>

<file path=xl/comments1.xml><?xml version="1.0" encoding="utf-8"?>
<comments xmlns="http://schemas.openxmlformats.org/spreadsheetml/2006/main">
  <authors>
    <author>Magdalena Fic</author>
  </authors>
  <commentList>
    <comment ref="K20" authorId="0" shapeId="0">
      <text>
        <r>
          <rPr>
            <sz val="9"/>
            <color indexed="81"/>
            <rFont val="Tahoma"/>
            <family val="2"/>
            <charset val="238"/>
          </rPr>
          <t xml:space="preserve">Magdalena Fic: Dane dotyczące liczby zwolnionych pracowników w Santander Bank Polsk S.A.   dotyczą okresu od stycznia 2021 r. do grudnia 2021 r. 
 W dniu 01.02.2022 r.  otrzymałam informację o liczbie rozwiązanych umów o pracę za cały okres.    </t>
        </r>
        <r>
          <rPr>
            <b/>
            <sz val="9"/>
            <color indexed="81"/>
            <rFont val="Tahoma"/>
            <family val="2"/>
            <charset val="238"/>
          </rPr>
          <t xml:space="preserve">   </t>
        </r>
        <r>
          <rPr>
            <sz val="9"/>
            <color indexed="81"/>
            <rFont val="Tahoma"/>
            <family val="2"/>
            <charset val="238"/>
          </rPr>
          <t xml:space="preserve">
 </t>
        </r>
      </text>
    </comment>
    <comment ref="K21" authorId="0" shapeId="0">
      <text>
        <r>
          <rPr>
            <b/>
            <sz val="9"/>
            <color indexed="81"/>
            <rFont val="Tahoma"/>
            <family val="2"/>
            <charset val="238"/>
          </rPr>
          <t>Magdalena Fic:</t>
        </r>
        <r>
          <rPr>
            <sz val="9"/>
            <color indexed="81"/>
            <rFont val="Tahoma"/>
            <family val="2"/>
            <charset val="238"/>
          </rPr>
          <t xml:space="preserve">
Dane dotyczące liczby zwolnionych pracowników w Polskich  Liniach Lotniczych LOT SA  dotyczą okresu  od stycznia 2021 r. do lisrtopada 2021 r. 
 W dniu 05.01.2022 r.  otrzymałam informację o liczbie rozwiązanych umów o pracę za cały okres.          </t>
        </r>
      </text>
    </comment>
    <comment ref="K26" authorId="0" shapeId="0">
      <text>
        <r>
          <rPr>
            <sz val="9"/>
            <color indexed="81"/>
            <rFont val="Tahoma"/>
            <family val="2"/>
            <charset val="238"/>
          </rPr>
          <t xml:space="preserve">Magdalena Fic:Dane dotyczące liczby zwolnionych pracowników w Orange Polsa  SA  dotyczą okresu  od stycznia 2021 r.           do grudnia 2021 r.  
W dniu 31.01.2022 r.  otrzymałam informację o liczbie rozwiązanych umów o pracę za cały okres. 
 </t>
        </r>
      </text>
    </comment>
  </commentList>
</comments>
</file>

<file path=xl/sharedStrings.xml><?xml version="1.0" encoding="utf-8"?>
<sst xmlns="http://schemas.openxmlformats.org/spreadsheetml/2006/main" count="574" uniqueCount="513">
  <si>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</si>
  <si>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</si>
  <si>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</si>
  <si>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</si>
  <si>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</si>
  <si>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</si>
  <si>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</si>
  <si>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</si>
  <si>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</si>
  <si>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</si>
  <si>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</si>
  <si>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</si>
  <si>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</si>
  <si>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</si>
  <si>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</si>
  <si>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</si>
  <si>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</si>
  <si>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</si>
  <si>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</si>
  <si>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</si>
  <si>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</si>
  <si>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</si>
  <si>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</si>
  <si>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</si>
  <si>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</si>
  <si>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</si>
  <si>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</si>
  <si>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</si>
  <si>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</si>
  <si>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</si>
  <si>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</si>
  <si>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</si>
  <si>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</si>
  <si>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</si>
  <si>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</si>
  <si>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</si>
  <si>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</si>
  <si>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</si>
  <si>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</si>
  <si>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</si>
  <si>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</si>
  <si>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</si>
  <si>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</si>
  <si>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</si>
  <si>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</si>
  <si>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</si>
  <si>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</si>
  <si>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</si>
  <si>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</si>
  <si>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</si>
  <si>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</si>
  <si>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</si>
  <si>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</si>
  <si>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</si>
  <si>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</si>
  <si>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</si>
  <si>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</si>
  <si>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</si>
  <si>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</si>
  <si>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</si>
  <si>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</si>
  <si>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</si>
  <si>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</si>
  <si>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</si>
  <si>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</si>
  <si>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</si>
  <si>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</si>
  <si>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</si>
  <si>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</si>
  <si>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</si>
  <si>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</si>
  <si>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</si>
  <si>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</si>
  <si>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</si>
  <si>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</si>
  <si>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</si>
  <si>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</si>
  <si>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</si>
  <si>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</si>
  <si>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</si>
  <si>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</si>
  <si>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</si>
  <si>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</si>
  <si>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</si>
  <si>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</si>
  <si>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</si>
  <si>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</si>
  <si>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</si>
  <si>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</si>
  <si>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</si>
  <si>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</si>
  <si>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</si>
  <si>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</si>
  <si>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</si>
  <si>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</si>
  <si>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</si>
  <si>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</si>
  <si>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</si>
  <si>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</si>
  <si>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</si>
  <si>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</si>
  <si>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</si>
  <si>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</si>
  <si>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</si>
  <si>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</si>
  <si>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</si>
  <si>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</si>
  <si>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</si>
  <si>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</si>
  <si>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</si>
  <si>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</si>
  <si>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</si>
  <si>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</si>
  <si>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</si>
  <si>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</si>
  <si>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</si>
  <si>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</si>
  <si>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</si>
  <si>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</si>
  <si>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</si>
  <si>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</si>
  <si>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</si>
  <si>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</si>
  <si>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</si>
  <si>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</si>
  <si>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</si>
  <si>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</si>
  <si>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</si>
  <si>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</si>
  <si>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</si>
  <si>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</si>
  <si>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</si>
  <si>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</si>
  <si>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</si>
  <si>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</si>
  <si>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</si>
  <si>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</si>
  <si>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</si>
  <si>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</si>
  <si>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</si>
  <si>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</si>
  <si>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</si>
  <si>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</si>
  <si>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</si>
  <si>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</si>
  <si>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</si>
  <si>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</si>
  <si>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</si>
  <si>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</si>
  <si>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</si>
  <si>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</si>
  <si>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</si>
  <si>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</si>
  <si>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</si>
  <si>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</si>
  <si>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</si>
  <si>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</si>
  <si>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</si>
  <si>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</si>
  <si>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</si>
  <si>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</si>
  <si>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</si>
  <si>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</si>
  <si>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</si>
  <si>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</si>
  <si>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</si>
  <si>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</si>
  <si>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</si>
  <si>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</si>
  <si>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</si>
  <si>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</si>
  <si>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</si>
  <si>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</si>
  <si>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</si>
  <si>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</si>
  <si>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</si>
  <si>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</si>
  <si>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</si>
  <si>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</si>
  <si>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</si>
  <si>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</si>
  <si>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</si>
  <si>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</si>
  <si>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</si>
  <si>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</si>
  <si>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</si>
  <si>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</si>
  <si>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</si>
  <si>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</si>
  <si>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</si>
  <si>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</si>
  <si>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</si>
  <si>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</si>
  <si>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</si>
  <si>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</si>
  <si>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</si>
  <si>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</si>
  <si>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</si>
  <si>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</si>
  <si>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</si>
  <si>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</si>
  <si>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</si>
  <si>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</si>
  <si>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</si>
  <si>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</si>
  <si>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</si>
  <si>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</si>
  <si>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</si>
  <si>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</si>
  <si>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</si>
  <si>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</si>
  <si>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</si>
  <si>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</si>
  <si>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</si>
  <si>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</si>
  <si>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</si>
  <si>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</si>
  <si>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</si>
  <si>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</si>
  <si>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</si>
  <si>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</si>
  <si>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</si>
  <si>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</si>
  <si>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</si>
  <si>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</si>
  <si>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</si>
  <si>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</si>
  <si>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</si>
  <si>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</si>
  <si>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</si>
  <si>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</si>
  <si>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</si>
  <si>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</si>
  <si>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</si>
  <si>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</si>
  <si>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</si>
  <si>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</si>
  <si>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</si>
  <si>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</si>
  <si>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</si>
  <si>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</si>
  <si>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</si>
  <si>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</si>
  <si>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</si>
  <si>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</si>
  <si>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</si>
  <si>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</si>
  <si>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</si>
  <si>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</si>
  <si>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</si>
  <si>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</si>
  <si>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</si>
  <si>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</si>
  <si>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</si>
  <si>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</si>
  <si>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</si>
  <si>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</si>
  <si>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</si>
  <si>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</si>
  <si>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</si>
  <si>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</si>
  <si>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</si>
  <si>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</si>
  <si>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</si>
  <si>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</si>
  <si>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</si>
  <si>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</si>
  <si>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</si>
  <si>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</si>
  <si>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</si>
  <si>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</si>
  <si>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</si>
  <si>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</si>
  <si>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</si>
  <si>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</si>
  <si>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</si>
  <si>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</si>
  <si>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</si>
  <si>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</si>
  <si>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</si>
  <si>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</si>
  <si>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</si>
  <si>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</si>
  <si>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</si>
  <si>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</si>
  <si>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</si>
  <si>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</si>
  <si>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</si>
  <si>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</si>
  <si>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</si>
  <si>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</si>
  <si>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</si>
  <si>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</si>
  <si>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</si>
  <si>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</si>
  <si>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</si>
  <si>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</si>
  <si>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</si>
  <si>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</si>
  <si>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</si>
  <si>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</si>
  <si>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</si>
  <si>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</si>
  <si>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</si>
  <si>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</si>
  <si>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</si>
  <si>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</si>
  <si>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</si>
  <si>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</si>
  <si>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</si>
  <si>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</si>
  <si>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</si>
  <si>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</si>
  <si>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</si>
  <si>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</si>
  <si>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</si>
  <si>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</si>
  <si>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</si>
  <si>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</si>
  <si>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</si>
  <si>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</si>
  <si>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</si>
  <si>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</si>
  <si>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</si>
  <si>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</si>
  <si>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</si>
  <si>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</si>
  <si>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</si>
  <si>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</si>
  <si>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</si>
  <si>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</si>
  <si>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</si>
  <si>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</si>
  <si>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</si>
  <si>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</si>
  <si>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</si>
  <si>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</si>
  <si>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</si>
  <si>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</si>
  <si>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</si>
  <si>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</si>
  <si>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</si>
  <si>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</si>
  <si>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</si>
  <si>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</si>
  <si>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</si>
  <si>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</si>
  <si>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</si>
  <si>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</si>
  <si>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</si>
  <si>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</si>
  <si>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</si>
  <si>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</si>
  <si>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</si>
  <si>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</si>
  <si>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</si>
  <si>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</si>
  <si>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</si>
  <si>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</si>
  <si>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</si>
  <si>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</si>
  <si>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</si>
  <si>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</si>
  <si>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</si>
  <si>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</si>
  <si>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</si>
  <si>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</si>
  <si>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</si>
  <si>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</si>
  <si>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</si>
  <si>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</si>
  <si>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</si>
  <si>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</si>
  <si>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</si>
  <si>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</si>
  <si>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</si>
  <si>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</si>
  <si>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</si>
  <si>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</si>
  <si>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</si>
  <si>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</si>
  <si>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</si>
  <si>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</si>
  <si>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</si>
  <si>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</si>
  <si>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</si>
  <si>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</si>
  <si>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</si>
  <si>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</si>
  <si>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</si>
  <si>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</si>
  <si>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</si>
  <si>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</si>
  <si>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</si>
  <si>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</si>
  <si>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</si>
  <si>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</si>
  <si>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</si>
  <si>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</si>
  <si>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</si>
  <si>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</si>
  <si>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</si>
  <si>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</si>
  <si>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</si>
  <si>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</si>
  <si>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</si>
  <si>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</si>
  <si>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</si>
  <si>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</si>
  <si>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</si>
  <si>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</si>
  <si>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</si>
  <si>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</si>
  <si>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</si>
  <si>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</si>
  <si>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</si>
  <si>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</si>
  <si>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</si>
  <si>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</si>
  <si>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</si>
  <si>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</si>
  <si>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</si>
  <si>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</si>
  <si>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</si>
  <si>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</si>
  <si>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</si>
  <si>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</si>
  <si>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</si>
  <si>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</si>
  <si>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</si>
  <si>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</si>
  <si>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</si>
  <si>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</si>
  <si>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</si>
  <si>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</si>
  <si>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</si>
  <si>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</si>
  <si>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</si>
  <si>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</si>
  <si>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</si>
  <si>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</si>
  <si>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</si>
  <si>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</si>
  <si>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</si>
  <si>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</si>
  <si>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</si>
  <si>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</si>
  <si>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</si>
  <si>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</si>
  <si>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</si>
  <si>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</si>
  <si>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</si>
  <si>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6419Z</t>
  </si>
  <si>
    <t>Hubert Samul</t>
  </si>
  <si>
    <t>h.samul@wup.mazowsze.pl</t>
  </si>
  <si>
    <t>nie</t>
  </si>
  <si>
    <t xml:space="preserve">BNP Paribas Bank Polska S.A.                  ul. M. Kasprzaka  10/16                           01-211 Warszawa </t>
  </si>
  <si>
    <t>4771Z</t>
  </si>
  <si>
    <t>AMW SINEVIA SPÓŁKA Z OGRANICZONĄ ODPOWIEDZIALNOŚCIĄ</t>
  </si>
  <si>
    <t>4299Z</t>
  </si>
  <si>
    <t>012100784</t>
  </si>
  <si>
    <t>6110Z</t>
  </si>
  <si>
    <t xml:space="preserve">01.-12..2022 r. </t>
  </si>
  <si>
    <t>010058960</t>
  </si>
  <si>
    <t>5110Z</t>
  </si>
  <si>
    <t>010928125</t>
  </si>
  <si>
    <t>48 22 578 44 17</t>
  </si>
  <si>
    <t xml:space="preserve">   GRODZISKA SPÓŁDZIELNIA MALWA REGON  000455870</t>
  </si>
  <si>
    <t>1413Z</t>
  </si>
  <si>
    <t>31.03.2022 r.</t>
  </si>
  <si>
    <t>TAK</t>
  </si>
  <si>
    <t>AFT Altmann Polska Sp. z o.o.</t>
  </si>
  <si>
    <t>49.41</t>
  </si>
  <si>
    <t>30.04.2022</t>
  </si>
  <si>
    <t>tak</t>
  </si>
  <si>
    <t>21.01.2022</t>
  </si>
  <si>
    <t>Paris Tobacco International Manufacturing sp.z o.o.</t>
  </si>
  <si>
    <t>1 m-ca</t>
  </si>
  <si>
    <t>09.11.2021</t>
  </si>
  <si>
    <t>369473557</t>
  </si>
  <si>
    <t>142989877</t>
  </si>
  <si>
    <t>TECHNICOLOR POLSKA SPÓŁKA Z OGRANICZONĄ ODPOWIEDZIALNOŚCIĄ</t>
  </si>
  <si>
    <t>2221Z</t>
  </si>
  <si>
    <t>poradnictwo zawodowe, pośrednictwo pracy, szkolenia</t>
  </si>
  <si>
    <t>PKO BP SA</t>
  </si>
  <si>
    <t>016298263</t>
  </si>
  <si>
    <t>POCZTA POLSKA SPÓŁKA AKCYJNA</t>
  </si>
  <si>
    <t>1068496000000</t>
  </si>
  <si>
    <t>5310Z</t>
  </si>
  <si>
    <t>09.10.2021</t>
  </si>
  <si>
    <t>porozumienie z 16.06.2021 r.</t>
  </si>
  <si>
    <t>04.01.2022</t>
  </si>
  <si>
    <t>31.10.2021</t>
  </si>
  <si>
    <t>Open Finance S.A.
Al. Jerozolimskie 92
00-807 Warszawa</t>
  </si>
  <si>
    <t>015672908</t>
  </si>
  <si>
    <t>6619Z</t>
  </si>
  <si>
    <t>FedEx Express Poland Sp. z o.o.                                                  ul. Annopol 19                                              03-236 Warszawa</t>
  </si>
  <si>
    <t>241612498</t>
  </si>
  <si>
    <t>5320Z</t>
  </si>
  <si>
    <t>Mercer Services  Poland                            Sp. z o.o.                                                            Al. Jerozolimskie 98                                    00-807 Warszawa</t>
  </si>
  <si>
    <t xml:space="preserve">Santander Bank Polska S.A.                   Al. Jana Pawła II  17                                00-854 Warszawa </t>
  </si>
  <si>
    <t>930041341</t>
  </si>
  <si>
    <t xml:space="preserve">Polskie Linnie Lotnicze LOT S.A.                  ul. Komietu Obrony Robotników 43                    02-146 Warszawa </t>
  </si>
  <si>
    <t xml:space="preserve">Totolotek  SA                                                        ul. Taneczna 18B                              02-923  Warszawa </t>
  </si>
  <si>
    <t>010333455</t>
  </si>
  <si>
    <t>9200Z</t>
  </si>
  <si>
    <t xml:space="preserve">Nest Bank  S.A.                                                         ul. Wołowska 24                                           02-675 Warszawa </t>
  </si>
  <si>
    <t xml:space="preserve">Monetia Sp. z o.o.                                                           ul. Grójecka 5                                   02-219  Warszawa </t>
  </si>
  <si>
    <t xml:space="preserve">Kapsch Telematic Services                     Sp. z o. o.                                                                                                    ul. Poleczki 35                                                                                                                      02-822 Warszawa </t>
  </si>
  <si>
    <t>6190Z</t>
  </si>
  <si>
    <t>Orange Polska S.A.                                  Al. Jerozolimskie 160                                   02-326 Warszawa</t>
  </si>
  <si>
    <t>DNB Bank Polska S.A.                                                ul.Postępu 15C                                                              02-676 Warszawa</t>
  </si>
  <si>
    <t>017296065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</si>
</sst>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15]General"/>
    <numFmt numFmtId="165" formatCode="00000000000"/>
  </numFmts>
  <fonts count="20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</cellStyleXfs>
  <cellXfs count="81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right" vertical="center" wrapText="1"/>
    </xf>
    <xf numFmtId="0" fontId="15" fillId="0" borderId="1" xfId="0" applyFont="1" applyBorder="1" applyAlignment="1">
      <alignment horizontal="left" vertical="center" wrapText="1"/>
    </xf>
    <xf numFmtId="49" fontId="15" fillId="0" borderId="1" xfId="0" applyNumberFormat="1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5">
    <cellStyle name="Excel Built-in Normal" xfId="4"/>
    <cellStyle name="Hiperłącze" xfId="2" builtinId="8"/>
    <cellStyle name="Hiperłącze 2" xfId="3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topLeftCell="A16" zoomScale="75" zoomScaleNormal="75" workbookViewId="0">
      <selection activeCell="E8" sqref="E8"/>
    </sheetView>
  </sheetViews>
  <sheetFormatPr defaultRowHeight="13.2"/>
  <cols>
    <col min="2" max="2" width="6.88671875" customWidth="1"/>
    <col min="3" max="3" width="34.88671875" customWidth="1"/>
    <col min="4" max="4" width="45.88671875" customWidth="1"/>
    <col min="5" max="5" width="37.44140625" customWidth="1"/>
    <col min="6" max="6" width="30.5546875" customWidth="1"/>
    <col min="7" max="7" width="28.5546875" customWidth="1"/>
  </cols>
  <sheetData>
    <row r="2" spans="3:7" ht="15.6">
      <c r="C2" s="11" t="s">
        <v>436</v>
      </c>
    </row>
    <row r="4" spans="3:7" ht="15.6">
      <c r="C4" s="11" t="s">
        <v>263</v>
      </c>
    </row>
    <row r="5" spans="3:7" ht="13.8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281</v>
      </c>
      <c r="E7" s="10"/>
    </row>
    <row r="8" spans="3:7" ht="38.25" customHeight="1" thickBot="1">
      <c r="C8" s="12" t="s">
        <v>293</v>
      </c>
      <c r="D8" s="16">
        <v>2022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453</v>
      </c>
      <c r="E13" s="27" t="s">
        <v>454</v>
      </c>
      <c r="F13" s="28" t="s">
        <v>466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74" t="s">
        <v>438</v>
      </c>
      <c r="D22" s="19"/>
    </row>
    <row r="23" spans="3:6" ht="25.8">
      <c r="C23" s="74"/>
      <c r="D23" s="20" t="s">
        <v>280</v>
      </c>
    </row>
    <row r="24" spans="3:6" ht="28.5" customHeight="1">
      <c r="C24" s="74"/>
    </row>
    <row r="25" spans="3:6">
      <c r="C25" s="22"/>
    </row>
    <row r="26" spans="3:6">
      <c r="C26" s="74" t="s">
        <v>439</v>
      </c>
    </row>
    <row r="27" spans="3:6">
      <c r="C27" s="74"/>
    </row>
    <row r="28" spans="3:6" ht="23.25" customHeight="1">
      <c r="C28" s="74"/>
    </row>
    <row r="29" spans="3:6">
      <c r="C29" s="22"/>
    </row>
    <row r="30" spans="3:6" ht="12.75" customHeight="1">
      <c r="C30" s="74" t="s">
        <v>440</v>
      </c>
    </row>
    <row r="31" spans="3:6" ht="12.75" customHeight="1">
      <c r="C31" s="74"/>
    </row>
    <row r="32" spans="3:6" ht="21.75" customHeight="1">
      <c r="C32" s="74"/>
    </row>
    <row r="33" spans="3:3" ht="14.25" customHeight="1">
      <c r="C33" s="74"/>
    </row>
    <row r="34" spans="3:3">
      <c r="C34" s="74"/>
    </row>
    <row r="35" spans="3:3">
      <c r="C35" s="74"/>
    </row>
    <row r="37" spans="3:3" ht="12.75" customHeight="1">
      <c r="C37" s="74" t="s">
        <v>448</v>
      </c>
    </row>
    <row r="38" spans="3:3" ht="12.75" customHeight="1">
      <c r="C38" s="74"/>
    </row>
    <row r="39" spans="3:3" ht="19.5" customHeight="1">
      <c r="C39" s="74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28"/>
  <sheetViews>
    <sheetView tabSelected="1" view="pageBreakPreview" topLeftCell="A7" zoomScale="70" zoomScaleNormal="100" zoomScaleSheetLayoutView="70" workbookViewId="0">
      <selection activeCell="D12" sqref="D12"/>
    </sheetView>
  </sheetViews>
  <sheetFormatPr defaultColWidth="9.109375" defaultRowHeight="90.75" customHeight="1"/>
  <cols>
    <col min="1" max="1" width="1.88671875" style="29" customWidth="1"/>
    <col min="2" max="3" width="21.5546875" style="30" customWidth="1"/>
    <col min="4" max="4" width="40" style="39" customWidth="1"/>
    <col min="5" max="5" width="25.5546875" style="32" customWidth="1"/>
    <col min="6" max="6" width="13.109375" style="30" customWidth="1"/>
    <col min="7" max="7" width="14.44140625" style="30" customWidth="1"/>
    <col min="8" max="8" width="22.6640625" style="30" customWidth="1"/>
    <col min="9" max="9" width="17.33203125" style="30" customWidth="1"/>
    <col min="10" max="10" width="14.44140625" style="30" customWidth="1"/>
    <col min="11" max="11" width="26.6640625" style="30" customWidth="1"/>
    <col min="12" max="12" width="16.88671875" style="30" customWidth="1"/>
    <col min="13" max="13" width="24.88671875" style="30" customWidth="1"/>
    <col min="14" max="14" width="17.6640625" style="30" customWidth="1"/>
    <col min="15" max="15" width="23.6640625" style="30" customWidth="1"/>
    <col min="16" max="16384" width="9.10937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Styczeń </v>
      </c>
      <c r="E2" s="37">
        <f>'Dane podstawowe'!D8</f>
        <v>2022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75" t="s">
        <v>430</v>
      </c>
      <c r="C4" s="75"/>
      <c r="D4" s="76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77" t="s">
        <v>444</v>
      </c>
      <c r="C6" s="77"/>
      <c r="D6" s="77"/>
      <c r="E6" s="77"/>
      <c r="F6" s="77"/>
      <c r="G6" s="78" t="s">
        <v>446</v>
      </c>
      <c r="H6" s="79"/>
      <c r="I6" s="79"/>
      <c r="J6" s="80"/>
      <c r="K6" s="48" t="s">
        <v>447</v>
      </c>
      <c r="L6" s="77" t="s">
        <v>445</v>
      </c>
      <c r="M6" s="77"/>
      <c r="N6" s="77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90.75" customHeight="1">
      <c r="A8" s="47"/>
      <c r="B8" s="52" t="s">
        <v>55</v>
      </c>
      <c r="C8" s="52" t="s">
        <v>269</v>
      </c>
      <c r="D8" s="51" t="s">
        <v>467</v>
      </c>
      <c r="E8" s="53"/>
      <c r="F8" s="52" t="s">
        <v>468</v>
      </c>
      <c r="G8" s="54">
        <v>5</v>
      </c>
      <c r="H8" s="55" t="s">
        <v>469</v>
      </c>
      <c r="I8" s="54">
        <v>0</v>
      </c>
      <c r="J8" s="54" t="s">
        <v>470</v>
      </c>
      <c r="K8" s="54">
        <v>0</v>
      </c>
      <c r="L8" s="54">
        <v>0</v>
      </c>
      <c r="M8" s="54">
        <v>0</v>
      </c>
      <c r="N8" s="54">
        <v>0</v>
      </c>
      <c r="O8" s="56">
        <v>44565</v>
      </c>
    </row>
    <row r="9" spans="1:15" ht="90.75" customHeight="1">
      <c r="A9" s="47"/>
      <c r="B9" s="52" t="s">
        <v>58</v>
      </c>
      <c r="C9" s="52" t="s">
        <v>269</v>
      </c>
      <c r="D9" s="51" t="s">
        <v>471</v>
      </c>
      <c r="E9" s="57"/>
      <c r="F9" s="58" t="s">
        <v>472</v>
      </c>
      <c r="G9" s="58"/>
      <c r="H9" s="49" t="s">
        <v>473</v>
      </c>
      <c r="I9" s="58">
        <v>0</v>
      </c>
      <c r="J9" s="58" t="s">
        <v>474</v>
      </c>
      <c r="K9" s="58">
        <v>36</v>
      </c>
      <c r="L9" s="58"/>
      <c r="M9" s="58"/>
      <c r="N9" s="58"/>
      <c r="O9" s="56" t="s">
        <v>475</v>
      </c>
    </row>
    <row r="10" spans="1:15" ht="90.75" customHeight="1">
      <c r="A10" s="47"/>
      <c r="B10" s="52" t="s">
        <v>64</v>
      </c>
      <c r="C10" s="52" t="s">
        <v>269</v>
      </c>
      <c r="D10" s="51" t="s">
        <v>458</v>
      </c>
      <c r="E10" s="57" t="s">
        <v>480</v>
      </c>
      <c r="F10" s="58" t="s">
        <v>459</v>
      </c>
      <c r="G10" s="58">
        <v>0</v>
      </c>
      <c r="H10" s="49"/>
      <c r="I10" s="58">
        <v>0</v>
      </c>
      <c r="J10" s="58"/>
      <c r="K10" s="58">
        <v>3</v>
      </c>
      <c r="L10" s="58">
        <v>0</v>
      </c>
      <c r="M10" s="58"/>
      <c r="N10" s="58"/>
      <c r="O10" s="56">
        <v>44564</v>
      </c>
    </row>
    <row r="11" spans="1:15" ht="90.75" customHeight="1">
      <c r="A11" s="47"/>
      <c r="B11" s="52" t="s">
        <v>73</v>
      </c>
      <c r="C11" s="52" t="s">
        <v>269</v>
      </c>
      <c r="D11" s="51" t="s">
        <v>476</v>
      </c>
      <c r="E11" s="57" t="s">
        <v>479</v>
      </c>
      <c r="F11" s="58">
        <v>1200</v>
      </c>
      <c r="G11" s="58"/>
      <c r="H11" s="49" t="s">
        <v>477</v>
      </c>
      <c r="I11" s="58"/>
      <c r="J11" s="58" t="s">
        <v>455</v>
      </c>
      <c r="K11" s="58">
        <v>4</v>
      </c>
      <c r="L11" s="58"/>
      <c r="M11" s="58"/>
      <c r="N11" s="58"/>
      <c r="O11" s="56" t="s">
        <v>478</v>
      </c>
    </row>
    <row r="12" spans="1:15" ht="90.75" customHeight="1">
      <c r="B12" s="59" t="s">
        <v>68</v>
      </c>
      <c r="C12" s="52" t="s">
        <v>269</v>
      </c>
      <c r="D12" s="51" t="s">
        <v>481</v>
      </c>
      <c r="E12" s="60">
        <v>10517669</v>
      </c>
      <c r="F12" s="52" t="s">
        <v>482</v>
      </c>
      <c r="G12" s="52">
        <v>35</v>
      </c>
      <c r="H12" s="72">
        <v>44592</v>
      </c>
      <c r="I12" s="52">
        <v>0</v>
      </c>
      <c r="J12" s="58" t="s">
        <v>455</v>
      </c>
      <c r="K12" s="49"/>
      <c r="L12" s="52"/>
      <c r="M12" s="52" t="s">
        <v>483</v>
      </c>
      <c r="N12" s="73">
        <v>44592</v>
      </c>
      <c r="O12" s="56">
        <v>44587</v>
      </c>
    </row>
    <row r="13" spans="1:15" ht="90.75" customHeight="1">
      <c r="B13" s="59" t="s">
        <v>70</v>
      </c>
      <c r="C13" s="52" t="s">
        <v>269</v>
      </c>
      <c r="D13" s="51" t="s">
        <v>484</v>
      </c>
      <c r="E13" s="57" t="s">
        <v>485</v>
      </c>
      <c r="F13" s="52" t="s">
        <v>452</v>
      </c>
      <c r="G13" s="52">
        <v>1</v>
      </c>
      <c r="H13" s="72">
        <v>44617</v>
      </c>
      <c r="I13" s="52">
        <v>0</v>
      </c>
      <c r="J13" s="58" t="s">
        <v>455</v>
      </c>
      <c r="K13" s="49">
        <v>1</v>
      </c>
      <c r="L13" s="52">
        <v>1</v>
      </c>
      <c r="M13" s="52"/>
      <c r="N13" s="52"/>
      <c r="O13" s="56">
        <v>44571</v>
      </c>
    </row>
    <row r="14" spans="1:15" ht="90.75" customHeight="1">
      <c r="B14" s="59" t="s">
        <v>90</v>
      </c>
      <c r="C14" s="52" t="s">
        <v>269</v>
      </c>
      <c r="D14" s="51" t="s">
        <v>486</v>
      </c>
      <c r="E14" s="49" t="s">
        <v>487</v>
      </c>
      <c r="F14" s="49" t="s">
        <v>488</v>
      </c>
      <c r="G14" s="49"/>
      <c r="H14" s="49" t="s">
        <v>489</v>
      </c>
      <c r="I14" s="49"/>
      <c r="J14" s="49" t="s">
        <v>455</v>
      </c>
      <c r="K14" s="49"/>
      <c r="L14" s="49">
        <v>1</v>
      </c>
      <c r="M14" s="49" t="s">
        <v>490</v>
      </c>
      <c r="N14" s="49" t="s">
        <v>489</v>
      </c>
      <c r="O14" s="61" t="s">
        <v>491</v>
      </c>
    </row>
    <row r="15" spans="1:15" ht="90.75" customHeight="1">
      <c r="B15" s="59" t="s">
        <v>90</v>
      </c>
      <c r="C15" s="52" t="s">
        <v>269</v>
      </c>
      <c r="D15" s="51" t="s">
        <v>486</v>
      </c>
      <c r="E15" s="57" t="s">
        <v>487</v>
      </c>
      <c r="F15" s="52" t="s">
        <v>488</v>
      </c>
      <c r="G15" s="49"/>
      <c r="H15" s="49" t="s">
        <v>492</v>
      </c>
      <c r="I15" s="49"/>
      <c r="J15" s="49" t="s">
        <v>455</v>
      </c>
      <c r="K15" s="49"/>
      <c r="L15" s="49">
        <v>1</v>
      </c>
      <c r="M15" s="49" t="s">
        <v>490</v>
      </c>
      <c r="N15" s="49" t="s">
        <v>492</v>
      </c>
      <c r="O15" s="61" t="s">
        <v>491</v>
      </c>
    </row>
    <row r="16" spans="1:15" ht="90.75" customHeight="1">
      <c r="B16" s="59" t="s">
        <v>91</v>
      </c>
      <c r="C16" s="52" t="str">
        <f t="shared" ref="C16:C18" si="0">$C$2</f>
        <v>MAZOWIECKIE</v>
      </c>
      <c r="D16" s="51" t="s">
        <v>493</v>
      </c>
      <c r="E16" s="57" t="s">
        <v>494</v>
      </c>
      <c r="F16" s="58" t="s">
        <v>495</v>
      </c>
      <c r="G16" s="58">
        <v>1082</v>
      </c>
      <c r="H16" s="49" t="s">
        <v>462</v>
      </c>
      <c r="I16" s="58"/>
      <c r="J16" s="58" t="s">
        <v>474</v>
      </c>
      <c r="K16" s="58"/>
      <c r="L16" s="58"/>
      <c r="M16" s="58"/>
      <c r="N16" s="58"/>
      <c r="O16" s="56">
        <v>44555</v>
      </c>
    </row>
    <row r="17" spans="2:16" ht="90.75" customHeight="1">
      <c r="B17" s="59" t="s">
        <v>91</v>
      </c>
      <c r="C17" s="59" t="str">
        <f t="shared" si="0"/>
        <v>MAZOWIECKIE</v>
      </c>
      <c r="D17" s="63" t="s">
        <v>496</v>
      </c>
      <c r="E17" s="64" t="s">
        <v>497</v>
      </c>
      <c r="F17" s="59" t="s">
        <v>498</v>
      </c>
      <c r="G17" s="59">
        <v>0</v>
      </c>
      <c r="H17" s="59">
        <v>0</v>
      </c>
      <c r="I17" s="59">
        <v>0</v>
      </c>
      <c r="J17" s="65">
        <v>0</v>
      </c>
      <c r="K17" s="66">
        <v>21</v>
      </c>
      <c r="L17" s="59">
        <v>0</v>
      </c>
      <c r="M17" s="59">
        <v>0</v>
      </c>
      <c r="N17" s="59">
        <v>0</v>
      </c>
      <c r="O17" s="67">
        <v>44580</v>
      </c>
    </row>
    <row r="18" spans="2:16" ht="90.75" customHeight="1">
      <c r="B18" s="59" t="s">
        <v>91</v>
      </c>
      <c r="C18" s="59" t="str">
        <f t="shared" si="0"/>
        <v>MAZOWIECKIE</v>
      </c>
      <c r="D18" s="63" t="s">
        <v>499</v>
      </c>
      <c r="E18" s="64">
        <v>369081627</v>
      </c>
      <c r="F18" s="59" t="s">
        <v>495</v>
      </c>
      <c r="G18" s="59">
        <v>0</v>
      </c>
      <c r="H18" s="59">
        <v>0</v>
      </c>
      <c r="I18" s="59">
        <v>0</v>
      </c>
      <c r="J18" s="65">
        <v>0</v>
      </c>
      <c r="K18" s="66">
        <v>12</v>
      </c>
      <c r="L18" s="59">
        <v>0</v>
      </c>
      <c r="M18" s="59">
        <v>0</v>
      </c>
      <c r="N18" s="59">
        <v>0</v>
      </c>
      <c r="O18" s="67">
        <v>44575</v>
      </c>
      <c r="P18" s="30"/>
    </row>
    <row r="19" spans="2:16" ht="90.75" customHeight="1">
      <c r="B19" s="59" t="s">
        <v>91</v>
      </c>
      <c r="C19" s="59" t="s">
        <v>269</v>
      </c>
      <c r="D19" s="63" t="s">
        <v>456</v>
      </c>
      <c r="E19" s="66">
        <v>10778878</v>
      </c>
      <c r="F19" s="66" t="s">
        <v>457</v>
      </c>
      <c r="G19" s="66">
        <v>0</v>
      </c>
      <c r="H19" s="66">
        <v>0</v>
      </c>
      <c r="I19" s="66">
        <v>0</v>
      </c>
      <c r="J19" s="66">
        <v>0</v>
      </c>
      <c r="K19" s="66">
        <v>16</v>
      </c>
      <c r="L19" s="66">
        <v>0</v>
      </c>
      <c r="M19" s="66">
        <v>0</v>
      </c>
      <c r="N19" s="66">
        <v>0</v>
      </c>
      <c r="O19" s="68">
        <v>44575</v>
      </c>
    </row>
    <row r="20" spans="2:16" ht="90.75" customHeight="1">
      <c r="B20" s="59" t="s">
        <v>91</v>
      </c>
      <c r="C20" s="59" t="s">
        <v>269</v>
      </c>
      <c r="D20" s="51" t="s">
        <v>500</v>
      </c>
      <c r="E20" s="57" t="s">
        <v>501</v>
      </c>
      <c r="F20" s="52" t="s">
        <v>452</v>
      </c>
      <c r="G20" s="66">
        <v>0</v>
      </c>
      <c r="H20" s="66">
        <v>0</v>
      </c>
      <c r="I20" s="66">
        <v>0</v>
      </c>
      <c r="J20" s="66">
        <v>0</v>
      </c>
      <c r="K20" s="66">
        <v>726</v>
      </c>
      <c r="L20" s="66">
        <v>0</v>
      </c>
      <c r="M20" s="66">
        <v>0</v>
      </c>
      <c r="N20" s="66">
        <v>0</v>
      </c>
      <c r="O20" s="68">
        <v>44593</v>
      </c>
    </row>
    <row r="21" spans="2:16" ht="90.75" customHeight="1">
      <c r="B21" s="59" t="s">
        <v>91</v>
      </c>
      <c r="C21" s="59" t="s">
        <v>269</v>
      </c>
      <c r="D21" s="51" t="s">
        <v>502</v>
      </c>
      <c r="E21" s="69" t="s">
        <v>463</v>
      </c>
      <c r="F21" s="52" t="s">
        <v>464</v>
      </c>
      <c r="G21" s="66">
        <v>0</v>
      </c>
      <c r="H21" s="66">
        <v>0</v>
      </c>
      <c r="I21" s="66">
        <v>0</v>
      </c>
      <c r="J21" s="66">
        <v>0</v>
      </c>
      <c r="K21" s="66">
        <v>193</v>
      </c>
      <c r="L21" s="66">
        <v>0</v>
      </c>
      <c r="M21" s="70">
        <v>0</v>
      </c>
      <c r="N21" s="66">
        <v>0</v>
      </c>
      <c r="O21" s="68">
        <v>44566</v>
      </c>
    </row>
    <row r="22" spans="2:16" ht="90.75" customHeight="1">
      <c r="B22" s="59" t="s">
        <v>91</v>
      </c>
      <c r="C22" s="59" t="s">
        <v>269</v>
      </c>
      <c r="D22" s="51" t="s">
        <v>503</v>
      </c>
      <c r="E22" s="71" t="s">
        <v>504</v>
      </c>
      <c r="F22" s="52" t="s">
        <v>505</v>
      </c>
      <c r="G22" s="66">
        <v>0</v>
      </c>
      <c r="H22" s="66">
        <v>0</v>
      </c>
      <c r="I22" s="66">
        <v>0</v>
      </c>
      <c r="J22" s="66">
        <v>0</v>
      </c>
      <c r="K22" s="52">
        <v>2</v>
      </c>
      <c r="L22" s="49">
        <v>0</v>
      </c>
      <c r="M22" s="49">
        <v>0</v>
      </c>
      <c r="N22" s="49">
        <v>0</v>
      </c>
      <c r="O22" s="56">
        <v>44582</v>
      </c>
    </row>
    <row r="23" spans="2:16" ht="90.75" customHeight="1">
      <c r="B23" s="59" t="s">
        <v>91</v>
      </c>
      <c r="C23" s="59" t="s">
        <v>269</v>
      </c>
      <c r="D23" s="51" t="s">
        <v>506</v>
      </c>
      <c r="E23" s="62" t="s">
        <v>465</v>
      </c>
      <c r="F23" s="52" t="s">
        <v>452</v>
      </c>
      <c r="G23" s="66">
        <v>0</v>
      </c>
      <c r="H23" s="66">
        <v>0</v>
      </c>
      <c r="I23" s="66">
        <v>0</v>
      </c>
      <c r="J23" s="66">
        <v>0</v>
      </c>
      <c r="K23" s="52">
        <v>1</v>
      </c>
      <c r="L23" s="49">
        <v>0</v>
      </c>
      <c r="M23" s="49">
        <v>0</v>
      </c>
      <c r="N23" s="49">
        <v>0</v>
      </c>
      <c r="O23" s="56">
        <v>44585</v>
      </c>
    </row>
    <row r="24" spans="2:16" ht="90.75" customHeight="1">
      <c r="B24" s="59" t="s">
        <v>91</v>
      </c>
      <c r="C24" s="59" t="s">
        <v>269</v>
      </c>
      <c r="D24" s="51" t="s">
        <v>507</v>
      </c>
      <c r="E24" s="57">
        <v>472019979</v>
      </c>
      <c r="F24" s="58" t="s">
        <v>452</v>
      </c>
      <c r="G24" s="66">
        <v>0</v>
      </c>
      <c r="H24" s="66">
        <v>0</v>
      </c>
      <c r="I24" s="66">
        <v>0</v>
      </c>
      <c r="J24" s="66">
        <v>0</v>
      </c>
      <c r="K24" s="52">
        <v>30</v>
      </c>
      <c r="L24" s="49">
        <v>0</v>
      </c>
      <c r="M24" s="49">
        <v>0</v>
      </c>
      <c r="N24" s="49">
        <v>0</v>
      </c>
      <c r="O24" s="56">
        <v>44586</v>
      </c>
    </row>
    <row r="25" spans="2:16" ht="90.75" customHeight="1">
      <c r="B25" s="59" t="s">
        <v>91</v>
      </c>
      <c r="C25" s="59" t="s">
        <v>269</v>
      </c>
      <c r="D25" s="51" t="s">
        <v>508</v>
      </c>
      <c r="E25" s="52">
        <v>142074468</v>
      </c>
      <c r="F25" s="52" t="s">
        <v>509</v>
      </c>
      <c r="G25" s="66">
        <v>0</v>
      </c>
      <c r="H25" s="66">
        <v>0</v>
      </c>
      <c r="I25" s="66">
        <v>0</v>
      </c>
      <c r="J25" s="66">
        <v>0</v>
      </c>
      <c r="K25" s="52">
        <v>20</v>
      </c>
      <c r="L25" s="49">
        <v>0</v>
      </c>
      <c r="M25" s="49">
        <v>0</v>
      </c>
      <c r="N25" s="49">
        <v>0</v>
      </c>
      <c r="O25" s="56">
        <v>44587</v>
      </c>
    </row>
    <row r="26" spans="2:16" ht="90.75" customHeight="1">
      <c r="B26" s="59" t="s">
        <v>91</v>
      </c>
      <c r="C26" s="59" t="s">
        <v>269</v>
      </c>
      <c r="D26" s="51" t="s">
        <v>510</v>
      </c>
      <c r="E26" s="52" t="s">
        <v>460</v>
      </c>
      <c r="F26" s="52" t="s">
        <v>461</v>
      </c>
      <c r="G26" s="66">
        <v>0</v>
      </c>
      <c r="H26" s="66">
        <v>0</v>
      </c>
      <c r="I26" s="66">
        <v>0</v>
      </c>
      <c r="J26" s="66">
        <v>0</v>
      </c>
      <c r="K26" s="52">
        <v>885</v>
      </c>
      <c r="L26" s="49">
        <v>0</v>
      </c>
      <c r="M26" s="49">
        <v>0</v>
      </c>
      <c r="N26" s="49">
        <v>0</v>
      </c>
      <c r="O26" s="56">
        <v>44592</v>
      </c>
    </row>
    <row r="27" spans="2:16" ht="90.75" customHeight="1">
      <c r="B27" s="59" t="s">
        <v>91</v>
      </c>
      <c r="C27" s="59" t="s">
        <v>269</v>
      </c>
      <c r="D27" s="50" t="s">
        <v>511</v>
      </c>
      <c r="E27" s="57" t="s">
        <v>512</v>
      </c>
      <c r="F27" s="52" t="s">
        <v>452</v>
      </c>
      <c r="G27" s="66">
        <v>0</v>
      </c>
      <c r="H27" s="66">
        <v>0</v>
      </c>
      <c r="I27" s="66">
        <v>0</v>
      </c>
      <c r="J27" s="66">
        <v>0</v>
      </c>
      <c r="K27" s="52">
        <v>2</v>
      </c>
      <c r="L27" s="49">
        <v>0</v>
      </c>
      <c r="M27" s="49">
        <v>0</v>
      </c>
      <c r="N27" s="49">
        <v>0</v>
      </c>
      <c r="O27" s="56">
        <v>44592</v>
      </c>
    </row>
    <row r="28" spans="2:16" ht="90.75" customHeight="1">
      <c r="G28" s="30">
        <f>SUM(G8:G27)</f>
        <v>1123</v>
      </c>
      <c r="K28" s="30">
        <f t="shared" ref="K28:L28" si="1">SUM(K8:K27)</f>
        <v>1952</v>
      </c>
      <c r="L28" s="30">
        <f t="shared" si="1"/>
        <v>3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disablePrompts="1" count="1">
    <dataValidation type="textLength" operator="equal" allowBlank="1" showInputMessage="1" showErrorMessage="1" prompt="Proszę wpisać REGON w formacie XXXXXXXXXXXXXX - 14 cyfrowy" sqref="E8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2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3.2"/>
  <cols>
    <col min="1" max="2" width="17.44140625" customWidth="1"/>
    <col min="3" max="3" width="13.6640625" customWidth="1"/>
    <col min="4" max="4" width="16.33203125" customWidth="1"/>
    <col min="5" max="5" width="16.88671875" customWidth="1"/>
    <col min="6" max="6" width="14.6640625" customWidth="1"/>
    <col min="7" max="7" width="16.33203125" customWidth="1"/>
    <col min="8" max="8" width="12.5546875" customWidth="1"/>
    <col min="20" max="20" width="18.109375" style="14" customWidth="1"/>
    <col min="23" max="23" width="16.10937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2020-08-05T11:40:15Z</cp:lastPrinted>
  <dcterms:created xsi:type="dcterms:W3CDTF">2009-02-04T13:09:17Z</dcterms:created>
  <dcterms:modified xsi:type="dcterms:W3CDTF">2022-02-17T07:44:08Z</dcterms:modified>
</cp:coreProperties>
</file>
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Zespół ds. Statystyk\dane_miesieczne\Zwolnienia\2020\"/>
    </mc:Choice>
  </mc:AlternateContent>
  <bookViews>
    <workbookView xWindow="120" yWindow="45" windowWidth="15180" windowHeight="883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I39" i="5" l="1"/>
  <c r="K39" i="5"/>
  <c r="G39" i="5" l="1"/>
  <c r="M8" i="5" l="1"/>
  <c r="E2" i="5" l="1"/>
  <c r="D2" i="5"/>
  <c r="C2" i="5" l="1"/>
  <c r="C39" i="5" l="1"/>
  <c r="C43" i="5"/>
  <c r="C47" i="5"/>
  <c r="C40" i="5"/>
  <c r="C44" i="5"/>
  <c r="C48" i="5"/>
  <c r="C37" i="5"/>
  <c r="C41" i="5"/>
  <c r="C45" i="5"/>
  <c r="C49" i="5"/>
  <c r="C38" i="5"/>
  <c r="C42" i="5"/>
  <c r="C46" i="5"/>
  <c r="C30" i="5"/>
  <c r="C34" i="5"/>
  <c r="C31" i="5"/>
  <c r="C35" i="5"/>
  <c r="C28" i="5"/>
  <c r="C32" i="5"/>
  <c r="C36" i="5"/>
  <c r="C29" i="5"/>
  <c r="C33" i="5"/>
  <c r="C8" i="5"/>
  <c r="C9" i="5"/>
  <c r="C10" i="5"/>
  <c r="C12" i="5"/>
  <c r="C14" i="5"/>
  <c r="C16" i="5"/>
  <c r="C18" i="5"/>
  <c r="C20" i="5"/>
  <c r="C22" i="5"/>
  <c r="C24" i="5"/>
  <c r="C26" i="5"/>
  <c r="C11" i="5"/>
  <c r="C13" i="5"/>
  <c r="C15" i="5"/>
  <c r="C17" i="5"/>
  <c r="C19" i="5"/>
  <c r="C21" i="5"/>
  <c r="C23" i="5"/>
  <c r="C25" i="5"/>
  <c r="C27" i="5"/>
</calcChain>
</file>

<file path=xl/sharedStrings.xml><?xml version="1.0" encoding="utf-8"?>
<sst xmlns="http://schemas.openxmlformats.org/spreadsheetml/2006/main" count="598" uniqueCount="545">
  <si>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</si>
  <si>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</si>
  <si>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</si>
  <si>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</si>
  <si>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</si>
  <si>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</si>
  <si>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</si>
  <si>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</si>
  <si>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</si>
  <si>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</si>
  <si>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</si>
  <si>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</si>
  <si>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</si>
  <si>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</si>
  <si>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</si>
  <si>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</si>
  <si>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</si>
  <si>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</si>
  <si>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</si>
  <si>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</si>
  <si>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</si>
  <si>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</si>
  <si>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</si>
  <si>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</si>
  <si>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</si>
  <si>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</si>
  <si>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</si>
  <si>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</si>
  <si>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</si>
  <si>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</si>
  <si>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</si>
  <si>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</si>
  <si>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</si>
  <si>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</si>
  <si>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</si>
  <si>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</si>
  <si>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</si>
  <si>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</si>
  <si>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</si>
  <si>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</si>
  <si>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</si>
  <si>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</si>
  <si>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</si>
  <si>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</si>
  <si>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</si>
  <si>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</si>
  <si>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</si>
  <si>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</si>
  <si>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</si>
  <si>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</si>
  <si>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</si>
  <si>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</si>
  <si>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</si>
  <si>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</si>
  <si>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</si>
  <si>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</si>
  <si>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</si>
  <si>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</si>
  <si>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</si>
  <si>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</si>
  <si>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</si>
  <si>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</si>
  <si>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</si>
  <si>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</si>
  <si>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</si>
  <si>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</si>
  <si>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</si>
  <si>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</si>
  <si>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</si>
  <si>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</si>
  <si>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</si>
  <si>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</si>
  <si>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</si>
  <si>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</si>
  <si>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</si>
  <si>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</si>
  <si>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</si>
  <si>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</si>
  <si>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</si>
  <si>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</si>
  <si>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</si>
  <si>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</si>
  <si>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</si>
  <si>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</si>
  <si>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</si>
  <si>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</si>
  <si>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</si>
  <si>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</si>
  <si>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</si>
  <si>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</si>
  <si>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</si>
  <si>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</si>
  <si>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</si>
  <si>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</si>
  <si>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</si>
  <si>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</si>
  <si>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</si>
  <si>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</si>
  <si>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</si>
  <si>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</si>
  <si>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</si>
  <si>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</si>
  <si>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</si>
  <si>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</si>
  <si>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</si>
  <si>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</si>
  <si>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</si>
  <si>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</si>
  <si>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</si>
  <si>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</si>
  <si>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</si>
  <si>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</si>
  <si>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</si>
  <si>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</si>
  <si>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</si>
  <si>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</si>
  <si>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</si>
  <si>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</si>
  <si>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</si>
  <si>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</si>
  <si>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</si>
  <si>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</si>
  <si>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</si>
  <si>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</si>
  <si>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</si>
  <si>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</si>
  <si>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</si>
  <si>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</si>
  <si>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</si>
  <si>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</si>
  <si>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</si>
  <si>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</si>
  <si>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</si>
  <si>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</si>
  <si>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</si>
  <si>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</si>
  <si>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</si>
  <si>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</si>
  <si>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</si>
  <si>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</si>
  <si>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</si>
  <si>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</si>
  <si>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</si>
  <si>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</si>
  <si>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</si>
  <si>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</si>
  <si>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</si>
  <si>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</si>
  <si>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</si>
  <si>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</si>
  <si>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</si>
  <si>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</si>
  <si>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</si>
  <si>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</si>
  <si>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</si>
  <si>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</si>
  <si>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</si>
  <si>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</si>
  <si>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</si>
  <si>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</si>
  <si>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</si>
  <si>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</si>
  <si>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</si>
  <si>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</si>
  <si>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</si>
  <si>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</si>
  <si>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</si>
  <si>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</si>
  <si>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</si>
  <si>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</si>
  <si>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</si>
  <si>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</si>
  <si>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</si>
  <si>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</si>
  <si>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</si>
  <si>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</si>
  <si>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</si>
  <si>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</si>
  <si>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</si>
  <si>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</si>
  <si>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</si>
  <si>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</si>
  <si>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</si>
  <si>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</si>
  <si>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</si>
  <si>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</si>
  <si>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</si>
  <si>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</si>
  <si>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</si>
  <si>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</si>
  <si>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</si>
  <si>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</si>
  <si>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</si>
  <si>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</si>
  <si>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</si>
  <si>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</si>
  <si>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</si>
  <si>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</si>
  <si>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</si>
  <si>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</si>
  <si>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</si>
  <si>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</si>
  <si>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</si>
  <si>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</si>
  <si>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</si>
  <si>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</si>
  <si>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</si>
  <si>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</si>
  <si>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</si>
  <si>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</si>
  <si>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</si>
  <si>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</si>
  <si>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</si>
  <si>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</si>
  <si>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</si>
  <si>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</si>
  <si>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</si>
  <si>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</si>
  <si>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</si>
  <si>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</si>
  <si>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</si>
  <si>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</si>
  <si>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</si>
  <si>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</si>
  <si>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</si>
  <si>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</si>
  <si>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</si>
  <si>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</si>
  <si>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</si>
  <si>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</si>
  <si>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</si>
  <si>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</si>
  <si>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</si>
  <si>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</si>
  <si>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</si>
  <si>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</si>
  <si>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</si>
  <si>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</si>
  <si>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</si>
  <si>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</si>
  <si>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</si>
  <si>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</si>
  <si>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</si>
  <si>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</si>
  <si>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</si>
  <si>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</si>
  <si>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</si>
  <si>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</si>
  <si>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</si>
  <si>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</si>
  <si>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</si>
  <si>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</si>
  <si>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</si>
  <si>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</si>
  <si>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</si>
  <si>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</si>
  <si>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</si>
  <si>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</si>
  <si>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</si>
  <si>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</si>
  <si>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</si>
  <si>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</si>
  <si>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</si>
  <si>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</si>
  <si>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</si>
  <si>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</si>
  <si>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</si>
  <si>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</si>
  <si>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</si>
  <si>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</si>
  <si>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</si>
  <si>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</si>
  <si>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</si>
  <si>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</si>
  <si>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</si>
  <si>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</si>
  <si>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</si>
  <si>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</si>
  <si>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</si>
  <si>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</si>
  <si>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</si>
  <si>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</si>
  <si>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</si>
  <si>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</si>
  <si>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</si>
  <si>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</si>
  <si>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</si>
  <si>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</si>
  <si>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</si>
  <si>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</si>
  <si>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</si>
  <si>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</si>
  <si>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</si>
  <si>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</si>
  <si>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</si>
  <si>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</si>
  <si>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</si>
  <si>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</si>
  <si>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</si>
  <si>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</si>
  <si>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</si>
  <si>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</si>
  <si>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</si>
  <si>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</si>
  <si>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</si>
  <si>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</si>
  <si>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</si>
  <si>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</si>
  <si>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</si>
  <si>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</si>
  <si>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</si>
  <si>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</si>
  <si>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</si>
  <si>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</si>
  <si>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</si>
  <si>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</si>
  <si>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</si>
  <si>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</si>
  <si>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</si>
  <si>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</si>
  <si>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</si>
  <si>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</si>
  <si>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</si>
  <si>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</si>
  <si>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</si>
  <si>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</si>
  <si>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</si>
  <si>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</si>
  <si>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</si>
  <si>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</si>
  <si>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</si>
  <si>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</si>
  <si>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</si>
  <si>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</si>
  <si>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</si>
  <si>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</si>
  <si>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</si>
  <si>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</si>
  <si>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</si>
  <si>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</si>
  <si>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</si>
  <si>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</si>
  <si>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</si>
  <si>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</si>
  <si>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</si>
  <si>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</si>
  <si>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</si>
  <si>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</si>
  <si>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</si>
  <si>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</si>
  <si>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</si>
  <si>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</si>
  <si>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</si>
  <si>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</si>
  <si>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</si>
  <si>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</si>
  <si>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</si>
  <si>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</si>
  <si>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</si>
  <si>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</si>
  <si>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</si>
  <si>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</si>
  <si>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</si>
  <si>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</si>
  <si>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</si>
  <si>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</si>
  <si>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</si>
  <si>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</si>
  <si>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</si>
  <si>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</si>
  <si>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</si>
  <si>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</si>
  <si>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</si>
  <si>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</si>
  <si>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</si>
  <si>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</si>
  <si>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</si>
  <si>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</si>
  <si>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</si>
  <si>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</si>
  <si>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</si>
  <si>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</si>
  <si>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</si>
  <si>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</si>
  <si>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</si>
  <si>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</si>
  <si>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</si>
  <si>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</si>
  <si>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</si>
  <si>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</si>
  <si>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</si>
  <si>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</si>
  <si>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</si>
  <si>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</si>
  <si>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</si>
  <si>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</si>
  <si>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</si>
  <si>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</si>
  <si>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</si>
  <si>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</si>
  <si>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</si>
  <si>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</si>
  <si>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</si>
  <si>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</si>
  <si>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</si>
  <si>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</si>
  <si>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</si>
  <si>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</si>
  <si>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</si>
  <si>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</si>
  <si>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</si>
  <si>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</si>
  <si>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</si>
  <si>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</si>
  <si>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</si>
  <si>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</si>
  <si>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</si>
  <si>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</si>
  <si>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</si>
  <si>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</si>
  <si>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</si>
  <si>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</si>
  <si>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</si>
  <si>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</si>
  <si>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</si>
  <si>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</si>
  <si>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</si>
  <si>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</si>
  <si>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</si>
  <si>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</si>
  <si>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</si>
  <si>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</si>
  <si>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</si>
  <si>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</si>
  <si>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</si>
  <si>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</si>
  <si>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</si>
  <si>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</si>
  <si>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</si>
  <si>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</si>
  <si>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</si>
  <si>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</si>
  <si>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</si>
  <si>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</si>
  <si>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</si>
  <si>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</si>
  <si>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</si>
  <si>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</si>
  <si>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</si>
  <si>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</si>
  <si>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</si>
  <si>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</si>
  <si>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22 578 44 17</t>
  </si>
  <si>
    <t>h.samul@wup.mazowsze.pl</t>
  </si>
  <si>
    <t>Hubert Samul</t>
  </si>
  <si>
    <t>AILA Sp. z o.o</t>
  </si>
  <si>
    <t>xxxxx301544023</t>
  </si>
  <si>
    <t>4752z</t>
  </si>
  <si>
    <t>31.03.2020 r.-31.01.2020 r.</t>
  </si>
  <si>
    <t>NIE</t>
  </si>
  <si>
    <t>tak</t>
  </si>
  <si>
    <t>27117360900000</t>
  </si>
  <si>
    <t>do 30.06.2020r.</t>
  </si>
  <si>
    <t>nie</t>
  </si>
  <si>
    <t>ELEKTROBUDOWA S.A.</t>
  </si>
  <si>
    <t>4321Z</t>
  </si>
  <si>
    <t>do 30.06.2020</t>
  </si>
  <si>
    <t>PPH SMAKOSZ Mariusz Orłowski</t>
  </si>
  <si>
    <t>1085Z</t>
  </si>
  <si>
    <t>PPHU RAFPOL</t>
  </si>
  <si>
    <t>2593Z</t>
  </si>
  <si>
    <t>Radom</t>
  </si>
  <si>
    <t>6419Z</t>
  </si>
  <si>
    <t>6492Z</t>
  </si>
  <si>
    <r>
      <t xml:space="preserve">Fabryka Okularów  Sp. z o.o.                    w upadłości                                                           ul. Marynarska 15                                                </t>
    </r>
    <r>
      <rPr>
        <sz val="10"/>
        <rFont val="Times New Roman"/>
        <family val="1"/>
        <charset val="238"/>
      </rPr>
      <t xml:space="preserve">02-674 </t>
    </r>
    <r>
      <rPr>
        <sz val="10"/>
        <rFont val="Arial"/>
        <family val="2"/>
        <charset val="238"/>
      </rPr>
      <t xml:space="preserve">Warszawa </t>
    </r>
  </si>
  <si>
    <t>4778Z</t>
  </si>
  <si>
    <t>05-08.2020</t>
  </si>
  <si>
    <t>Suhi 2 Go Sp. z o.o.                                                ul. Pola Karolińskie 4                                                02-401 Warszawa</t>
  </si>
  <si>
    <t>8299Z</t>
  </si>
  <si>
    <t xml:space="preserve">05-08.2020 </t>
  </si>
  <si>
    <t xml:space="preserve">nie </t>
  </si>
  <si>
    <t>Also Polska Sp. z o.o.                                              ul.Daniszewska 14                                         03-230 Warszawa</t>
  </si>
  <si>
    <t>4651Z</t>
  </si>
  <si>
    <t xml:space="preserve">05-07.2020 </t>
  </si>
  <si>
    <t>200-05-13</t>
  </si>
  <si>
    <t xml:space="preserve">JUUL Labs Polnad                              Al. Jerozolimskie 56C                             00-803 Warszawa </t>
  </si>
  <si>
    <t>4690Z</t>
  </si>
  <si>
    <t>05-10.2020</t>
  </si>
  <si>
    <t xml:space="preserve">Norauto Polska Sp. z o.o.                               ul. Jubilerska 10 04-190 Warszawa </t>
  </si>
  <si>
    <t>4532Z</t>
  </si>
  <si>
    <t>05-07.2020</t>
  </si>
  <si>
    <r>
      <rPr>
        <sz val="10"/>
        <rFont val="Arial"/>
        <family val="2"/>
        <charset val="238"/>
      </rPr>
      <t xml:space="preserve">ELEKTROBUDOWA S.A.                                       w upadłości                                                                       ul. Porcealnowa 12                                                                                                      40-246 Katowice                      </t>
    </r>
    <r>
      <rPr>
        <sz val="10"/>
        <color rgb="FFFF0000"/>
        <rFont val="Arial"/>
        <family val="2"/>
        <charset val="238"/>
      </rPr>
      <t xml:space="preserve">                                 </t>
    </r>
  </si>
  <si>
    <t xml:space="preserve">05-06.2020 </t>
  </si>
  <si>
    <t>Państwowa Inspekcja Sanitarna Ministerstwa Spraw Wewnętrznych                             i Administracji                                                  ul. Wołowska 137                                                 02-507 Warszawa</t>
  </si>
  <si>
    <t>8412Z</t>
  </si>
  <si>
    <t>06.2020</t>
  </si>
  <si>
    <t xml:space="preserve">tak </t>
  </si>
  <si>
    <t xml:space="preserve">Polska Agencja Żeglugi Powietrznej ul. Wieżowa 8                                               02-147 Warszawa </t>
  </si>
  <si>
    <t>5223Z</t>
  </si>
  <si>
    <t>05-11.2020</t>
  </si>
  <si>
    <t xml:space="preserve">Polskie Linnie Lotnicze LOT S.A.  ul.Komietu Obrony Robotników 43                                  02-146 Warszawa </t>
  </si>
  <si>
    <t>010058960</t>
  </si>
  <si>
    <t>5110Z</t>
  </si>
  <si>
    <t xml:space="preserve">Moleo Sp. zo.o w Restrukturyzacji                                    ul. Postepu 15                                 02-676 Warszawa  </t>
  </si>
  <si>
    <t>4791Z</t>
  </si>
  <si>
    <t>Provident Polska S.A.                                   ul. Inflancka 4a                                  03-189 Warszawa</t>
  </si>
  <si>
    <t>011994880</t>
  </si>
  <si>
    <t xml:space="preserve">T-MOBILE Polska S.A.                                      ul. Marynarska 12                      02-674 Warszawy </t>
  </si>
  <si>
    <t>011417295</t>
  </si>
  <si>
    <t>6120Z</t>
  </si>
  <si>
    <t>Agito Sp. z o.o.                                ul. Inflancka 4 a                                           00-189 Warszawa</t>
  </si>
  <si>
    <t xml:space="preserve">Nest Bank S.A.                                  ul. Wołoska 24                                                    02-675 Warszawa </t>
  </si>
  <si>
    <t>010928125</t>
  </si>
  <si>
    <t xml:space="preserve">Camaieu Polska Sp. z o.o.                                                                                               ul. Bitwy Warszawskiej                   1920 r. 7 b                                                                       02-366 Warszawa </t>
  </si>
  <si>
    <t>016318511</t>
  </si>
  <si>
    <t>4771Z</t>
  </si>
  <si>
    <t xml:space="preserve">Stena Recykling Sp. z o.o.                             ul. Grójecka 208                                                    02-390 Warszawa </t>
  </si>
  <si>
    <t>017264326</t>
  </si>
  <si>
    <t>3811Z</t>
  </si>
  <si>
    <t>Carlson Wagonlit Ecenter Polska   Sp. z o.o.                            ul. Domaniewska 41                        02-672 Warszawa</t>
  </si>
  <si>
    <t>277700010</t>
  </si>
  <si>
    <t>7990C</t>
  </si>
  <si>
    <t>Rydoo Sp. z o.o.                                              Al. Jerozolimskie 180                                                                         02-486 Warszawa</t>
  </si>
  <si>
    <t>047141554</t>
  </si>
  <si>
    <t>PKO BP S.A.                                   ul. Puławska 15                                             02-515 Warszawa</t>
  </si>
  <si>
    <t>BIGRAM                                                   ul. Cybernetyki  7                               02-677 Warszawa</t>
  </si>
  <si>
    <t>7810Z</t>
  </si>
  <si>
    <t>TRYUMF Sp. zo.o                                ul. Władysława Grabskiego 8                                                      37-450 Stalowa Wola</t>
  </si>
  <si>
    <t xml:space="preserve">Formfarm Sp. z o.o ul. Chełmżyńska 219 04-458 Warszawa </t>
  </si>
  <si>
    <t>015714593</t>
  </si>
  <si>
    <t>4646Z</t>
  </si>
  <si>
    <t>Bank Polska Kasa Opieki   Spółka   Akcyjna                                ul. Grzybowska 53/57                     00-950 Warszawa</t>
  </si>
  <si>
    <t>000010205</t>
  </si>
  <si>
    <t xml:space="preserve">Open Finance S.A.                            ul. Przyokopowa 333                            02-287 Warszawa </t>
  </si>
  <si>
    <t>015672908</t>
  </si>
  <si>
    <t>6619Z</t>
  </si>
  <si>
    <t xml:space="preserve">Imperial Cinepix Sp. z o.o. ul. Grójecka 208                                    02-390 Warszawa </t>
  </si>
  <si>
    <t>011167237</t>
  </si>
  <si>
    <t>5913Z</t>
  </si>
  <si>
    <t>CAMAIEU POLSKA SP. Z O.O.</t>
  </si>
  <si>
    <t>TAK</t>
  </si>
  <si>
    <t>271173609XXXXX</t>
  </si>
  <si>
    <t>7230Z</t>
  </si>
  <si>
    <t>zwoleń</t>
  </si>
  <si>
    <t xml:space="preserve"> ELEKTROBUDOWA S.A. w upadłości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</si>
</sst>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;@"/>
  </numFmts>
  <fonts count="14" x14ac:knownFonts="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name val="Times New Roman"/>
      <family val="1"/>
      <charset val="238"/>
    </font>
    <font>
      <sz val="10"/>
      <color rgb="FFFF0000"/>
      <name val="Arial"/>
      <family val="2"/>
      <charset val="238"/>
    </font>
    <font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0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2" fillId="0" borderId="1" xfId="0" applyFont="1" applyFill="1" applyBorder="1" applyAlignment="1"/>
    <xf numFmtId="0" fontId="3" fillId="2" borderId="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0" fillId="0" borderId="2" xfId="0" applyBorder="1" applyAlignment="1">
      <alignment horizontal="center"/>
    </xf>
    <xf numFmtId="0" fontId="2" fillId="0" borderId="0" xfId="1"/>
    <xf numFmtId="0" fontId="2" fillId="0" borderId="0" xfId="1" applyFill="1"/>
    <xf numFmtId="0" fontId="2" fillId="0" borderId="0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9" fillId="2" borderId="1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0" fillId="0" borderId="1" xfId="2" applyFill="1" applyBorder="1" applyAlignme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Border="1"/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14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2" fillId="0" borderId="1" xfId="1" applyFont="1" applyBorder="1"/>
    <xf numFmtId="0" fontId="2" fillId="0" borderId="2" xfId="1" applyBorder="1" applyAlignment="1">
      <alignment horizontal="center"/>
    </xf>
    <xf numFmtId="14" fontId="2" fillId="0" borderId="1" xfId="1" applyNumberFormat="1" applyBorder="1"/>
    <xf numFmtId="49" fontId="2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2" fillId="0" borderId="2" xfId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</cellXfs>
  <cellStyles count="3">
    <cellStyle name="Hiperłącze" xfId="2" builtinId="8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D8" sqref="D8"/>
    </sheetView>
  </sheetViews>
  <sheetFormatPr defaultRowHeight="12.75" x14ac:dyDescent="0.2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 x14ac:dyDescent="0.25">
      <c r="C2" s="16" t="s">
        <v>438</v>
      </c>
    </row>
    <row r="4" spans="3:7" ht="15.75" x14ac:dyDescent="0.25">
      <c r="C4" s="16" t="s">
        <v>263</v>
      </c>
    </row>
    <row r="5" spans="3:7" ht="13.5" thickBot="1" x14ac:dyDescent="0.25"/>
    <row r="6" spans="3:7" ht="39.75" customHeight="1" thickBot="1" x14ac:dyDescent="0.25">
      <c r="C6" s="17" t="s">
        <v>262</v>
      </c>
      <c r="D6" s="20" t="s">
        <v>269</v>
      </c>
    </row>
    <row r="7" spans="3:7" ht="39.75" customHeight="1" thickBot="1" x14ac:dyDescent="0.25">
      <c r="C7" s="17" t="s">
        <v>429</v>
      </c>
      <c r="D7" s="21" t="s">
        <v>285</v>
      </c>
      <c r="E7" s="15"/>
    </row>
    <row r="8" spans="3:7" ht="38.25" customHeight="1" thickBot="1" x14ac:dyDescent="0.25">
      <c r="C8" s="17" t="s">
        <v>293</v>
      </c>
      <c r="D8" s="21">
        <v>2020</v>
      </c>
      <c r="E8" s="28"/>
    </row>
    <row r="12" spans="3:7" x14ac:dyDescent="0.2">
      <c r="C12" s="6"/>
      <c r="D12" s="7"/>
      <c r="E12" s="7"/>
      <c r="F12" s="7"/>
      <c r="G12" s="8"/>
    </row>
    <row r="13" spans="3:7" ht="51.75" customHeight="1" x14ac:dyDescent="0.2">
      <c r="C13" s="22" t="s">
        <v>439</v>
      </c>
      <c r="D13" s="1" t="s">
        <v>454</v>
      </c>
      <c r="E13" s="42" t="s">
        <v>453</v>
      </c>
      <c r="F13" s="12" t="s">
        <v>452</v>
      </c>
      <c r="G13" s="9"/>
    </row>
    <row r="14" spans="3:7" x14ac:dyDescent="0.2">
      <c r="C14" s="10"/>
      <c r="D14" s="13" t="s">
        <v>260</v>
      </c>
      <c r="E14" s="13" t="s">
        <v>259</v>
      </c>
      <c r="F14" s="13" t="s">
        <v>261</v>
      </c>
      <c r="G14" s="9"/>
    </row>
    <row r="15" spans="3:7" x14ac:dyDescent="0.2">
      <c r="C15" s="10"/>
      <c r="D15" s="5"/>
      <c r="E15" s="5"/>
      <c r="F15" s="5"/>
      <c r="G15" s="9"/>
    </row>
    <row r="16" spans="3:7" x14ac:dyDescent="0.2">
      <c r="C16" s="10"/>
      <c r="D16" s="29"/>
      <c r="E16" s="5"/>
      <c r="F16" s="5"/>
      <c r="G16" s="11"/>
    </row>
    <row r="17" spans="3:6" x14ac:dyDescent="0.2">
      <c r="C17" s="23"/>
      <c r="E17" s="23"/>
      <c r="F17" s="23"/>
    </row>
    <row r="20" spans="3:6" x14ac:dyDescent="0.2">
      <c r="C20" s="26" t="s">
        <v>279</v>
      </c>
    </row>
    <row r="22" spans="3:6" x14ac:dyDescent="0.2">
      <c r="C22" s="82" t="s">
        <v>440</v>
      </c>
      <c r="D22" s="24"/>
    </row>
    <row r="23" spans="3:6" ht="26.25" x14ac:dyDescent="0.4">
      <c r="C23" s="82"/>
      <c r="D23" s="25" t="s">
        <v>280</v>
      </c>
    </row>
    <row r="24" spans="3:6" ht="28.5" customHeight="1" x14ac:dyDescent="0.2">
      <c r="C24" s="82"/>
    </row>
    <row r="25" spans="3:6" x14ac:dyDescent="0.2">
      <c r="C25" s="27"/>
    </row>
    <row r="26" spans="3:6" x14ac:dyDescent="0.2">
      <c r="C26" s="82" t="s">
        <v>441</v>
      </c>
    </row>
    <row r="27" spans="3:6" x14ac:dyDescent="0.2">
      <c r="C27" s="82"/>
    </row>
    <row r="28" spans="3:6" ht="23.25" customHeight="1" x14ac:dyDescent="0.2">
      <c r="C28" s="82"/>
    </row>
    <row r="29" spans="3:6" x14ac:dyDescent="0.2">
      <c r="C29" s="27"/>
    </row>
    <row r="30" spans="3:6" ht="12.75" customHeight="1" x14ac:dyDescent="0.2">
      <c r="C30" s="82" t="s">
        <v>442</v>
      </c>
    </row>
    <row r="31" spans="3:6" ht="12.75" customHeight="1" x14ac:dyDescent="0.2">
      <c r="C31" s="82"/>
    </row>
    <row r="32" spans="3:6" ht="21.75" customHeight="1" x14ac:dyDescent="0.2">
      <c r="C32" s="82"/>
    </row>
    <row r="33" spans="3:3" ht="14.25" customHeight="1" x14ac:dyDescent="0.2">
      <c r="C33" s="82"/>
    </row>
    <row r="34" spans="3:3" x14ac:dyDescent="0.2">
      <c r="C34" s="82"/>
    </row>
    <row r="35" spans="3:3" x14ac:dyDescent="0.2">
      <c r="C35" s="82"/>
    </row>
    <row r="37" spans="3:3" ht="12.75" customHeight="1" x14ac:dyDescent="0.2">
      <c r="C37" s="82" t="s">
        <v>451</v>
      </c>
    </row>
    <row r="38" spans="3:3" ht="12.75" customHeight="1" x14ac:dyDescent="0.2">
      <c r="C38" s="82"/>
    </row>
    <row r="39" spans="3:3" ht="19.5" customHeight="1" x14ac:dyDescent="0.2">
      <c r="C39" s="82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49"/>
  <sheetViews>
    <sheetView tabSelected="1" topLeftCell="A4" zoomScale="75" zoomScaleNormal="75" workbookViewId="0">
      <selection activeCell="G39" sqref="G39"/>
    </sheetView>
  </sheetViews>
  <sheetFormatPr defaultColWidth="9.140625" defaultRowHeight="12.75" x14ac:dyDescent="0.2"/>
  <cols>
    <col min="1" max="1" width="1.85546875" style="15" customWidth="1"/>
    <col min="2" max="3" width="21.5703125" style="15" customWidth="1"/>
    <col min="4" max="4" width="40" style="15" customWidth="1"/>
    <col min="5" max="5" width="17" style="15" customWidth="1"/>
    <col min="6" max="6" width="13.140625" style="15" customWidth="1"/>
    <col min="7" max="8" width="14.42578125" style="15" customWidth="1"/>
    <col min="9" max="9" width="17.28515625" style="15" customWidth="1"/>
    <col min="10" max="10" width="14.42578125" style="15" customWidth="1"/>
    <col min="11" max="11" width="26.7109375" style="15" customWidth="1"/>
    <col min="12" max="12" width="16.85546875" style="15" customWidth="1"/>
    <col min="13" max="13" width="14.42578125" style="15" customWidth="1"/>
    <col min="14" max="14" width="17.7109375" style="15" customWidth="1"/>
    <col min="15" max="15" width="17" style="15" customWidth="1"/>
    <col min="16" max="16384" width="9.140625" style="15"/>
  </cols>
  <sheetData>
    <row r="1" spans="2:15" x14ac:dyDescent="0.2">
      <c r="D1" s="33"/>
      <c r="F1" s="50"/>
    </row>
    <row r="2" spans="2:15" x14ac:dyDescent="0.2">
      <c r="B2" s="34" t="s">
        <v>2</v>
      </c>
      <c r="C2" s="35" t="str">
        <f>'Dane podstawowe'!$D$6</f>
        <v>MAZOWIECKIE</v>
      </c>
      <c r="D2" s="36" t="str">
        <f>'Dane podstawowe'!D7</f>
        <v xml:space="preserve">Maj </v>
      </c>
      <c r="E2" s="37">
        <f>'Dane podstawowe'!D8</f>
        <v>2020</v>
      </c>
      <c r="F2" s="33"/>
      <c r="G2" s="33"/>
      <c r="H2" s="33"/>
      <c r="I2" s="33"/>
    </row>
    <row r="3" spans="2:15" x14ac:dyDescent="0.2">
      <c r="E3" s="50"/>
    </row>
    <row r="4" spans="2:15" x14ac:dyDescent="0.2">
      <c r="B4" s="83" t="s">
        <v>431</v>
      </c>
      <c r="C4" s="83"/>
      <c r="D4" s="84"/>
      <c r="E4" s="50"/>
    </row>
    <row r="5" spans="2:15" x14ac:dyDescent="0.2">
      <c r="B5" s="40"/>
      <c r="C5" s="40"/>
      <c r="D5" s="41"/>
      <c r="E5" s="50"/>
    </row>
    <row r="6" spans="2:15" ht="15" x14ac:dyDescent="0.25">
      <c r="B6" s="85" t="s">
        <v>446</v>
      </c>
      <c r="C6" s="85"/>
      <c r="D6" s="85"/>
      <c r="E6" s="85"/>
      <c r="F6" s="85"/>
      <c r="G6" s="86" t="s">
        <v>448</v>
      </c>
      <c r="H6" s="87"/>
      <c r="I6" s="87"/>
      <c r="J6" s="88"/>
      <c r="K6" s="39" t="s">
        <v>449</v>
      </c>
      <c r="L6" s="85" t="s">
        <v>447</v>
      </c>
      <c r="M6" s="85"/>
      <c r="N6" s="85"/>
      <c r="O6" s="38"/>
    </row>
    <row r="7" spans="2:15" ht="91.5" customHeight="1" x14ac:dyDescent="0.2">
      <c r="B7" s="3" t="s">
        <v>1</v>
      </c>
      <c r="C7" s="3" t="s">
        <v>428</v>
      </c>
      <c r="D7" s="4" t="s">
        <v>0</v>
      </c>
      <c r="E7" s="4" t="s">
        <v>436</v>
      </c>
      <c r="F7" s="4" t="s">
        <v>430</v>
      </c>
      <c r="G7" s="4" t="s">
        <v>433</v>
      </c>
      <c r="H7" s="4" t="s">
        <v>437</v>
      </c>
      <c r="I7" s="4" t="s">
        <v>434</v>
      </c>
      <c r="J7" s="4" t="s">
        <v>435</v>
      </c>
      <c r="K7" s="4" t="s">
        <v>432</v>
      </c>
      <c r="L7" s="4" t="s">
        <v>444</v>
      </c>
      <c r="M7" s="4" t="s">
        <v>443</v>
      </c>
      <c r="N7" s="4" t="s">
        <v>445</v>
      </c>
      <c r="O7" s="4" t="s">
        <v>450</v>
      </c>
    </row>
    <row r="8" spans="2:15" x14ac:dyDescent="0.2">
      <c r="B8" s="43" t="s">
        <v>52</v>
      </c>
      <c r="C8" s="43" t="str">
        <f t="shared" ref="C8" si="0">$C$2</f>
        <v>MAZOWIECKIE</v>
      </c>
      <c r="D8" s="1" t="s">
        <v>455</v>
      </c>
      <c r="E8" s="51" t="s">
        <v>456</v>
      </c>
      <c r="F8" s="47" t="s">
        <v>457</v>
      </c>
      <c r="G8" s="44">
        <v>21</v>
      </c>
      <c r="H8" s="44" t="s">
        <v>458</v>
      </c>
      <c r="I8" s="44">
        <v>0</v>
      </c>
      <c r="J8" s="44" t="s">
        <v>459</v>
      </c>
      <c r="K8" s="44">
        <v>0</v>
      </c>
      <c r="L8" s="44">
        <v>0</v>
      </c>
      <c r="M8" s="44" t="e">
        <f>-#REF!</f>
        <v>#REF!</v>
      </c>
      <c r="N8" s="44">
        <v>0</v>
      </c>
      <c r="O8" s="45">
        <v>43955</v>
      </c>
    </row>
    <row r="9" spans="2:15" x14ac:dyDescent="0.2">
      <c r="B9" s="43" t="s">
        <v>65</v>
      </c>
      <c r="C9" s="43" t="str">
        <f t="shared" ref="C9:C49" si="1">$C$2</f>
        <v>MAZOWIECKIE</v>
      </c>
      <c r="D9" s="76" t="s">
        <v>544</v>
      </c>
      <c r="E9" s="79" t="s">
        <v>461</v>
      </c>
      <c r="F9" s="80" t="s">
        <v>465</v>
      </c>
      <c r="G9" s="77">
        <v>15</v>
      </c>
      <c r="H9" s="81" t="s">
        <v>462</v>
      </c>
      <c r="I9" s="77">
        <v>0</v>
      </c>
      <c r="J9" s="81" t="s">
        <v>463</v>
      </c>
      <c r="K9" s="77">
        <v>0</v>
      </c>
      <c r="L9" s="77">
        <v>0</v>
      </c>
      <c r="M9" s="77">
        <v>0</v>
      </c>
      <c r="N9" s="77">
        <v>0</v>
      </c>
      <c r="O9" s="78">
        <v>43963</v>
      </c>
    </row>
    <row r="10" spans="2:15" x14ac:dyDescent="0.2">
      <c r="B10" s="43" t="s">
        <v>471</v>
      </c>
      <c r="C10" s="43" t="str">
        <f t="shared" si="1"/>
        <v>MAZOWIECKIE</v>
      </c>
      <c r="D10" s="43" t="s">
        <v>467</v>
      </c>
      <c r="E10" s="52">
        <v>671934409</v>
      </c>
      <c r="F10" s="47" t="s">
        <v>468</v>
      </c>
      <c r="G10" s="46">
        <v>0</v>
      </c>
      <c r="H10" s="53">
        <v>44012</v>
      </c>
      <c r="I10" s="44">
        <v>0</v>
      </c>
      <c r="J10" s="44" t="s">
        <v>463</v>
      </c>
      <c r="K10" s="44">
        <v>7</v>
      </c>
      <c r="L10" s="44">
        <v>0</v>
      </c>
      <c r="M10" s="44">
        <v>0</v>
      </c>
      <c r="N10" s="44">
        <v>0</v>
      </c>
      <c r="O10" s="45">
        <v>43915</v>
      </c>
    </row>
    <row r="11" spans="2:15" x14ac:dyDescent="0.2">
      <c r="B11" s="43" t="s">
        <v>471</v>
      </c>
      <c r="C11" s="43" t="str">
        <f t="shared" si="1"/>
        <v>MAZOWIECKIE</v>
      </c>
      <c r="D11" s="43" t="s">
        <v>469</v>
      </c>
      <c r="E11" s="52">
        <v>670787917</v>
      </c>
      <c r="F11" s="47" t="s">
        <v>470</v>
      </c>
      <c r="G11" s="46">
        <v>0</v>
      </c>
      <c r="H11" s="53">
        <v>43955</v>
      </c>
      <c r="I11" s="44">
        <v>0</v>
      </c>
      <c r="J11" s="44" t="s">
        <v>463</v>
      </c>
      <c r="K11" s="44">
        <v>15</v>
      </c>
      <c r="L11" s="44">
        <v>0</v>
      </c>
      <c r="M11" s="44">
        <v>0</v>
      </c>
      <c r="N11" s="44">
        <v>0</v>
      </c>
      <c r="O11" s="45">
        <v>43929</v>
      </c>
    </row>
    <row r="12" spans="2:15" ht="51" x14ac:dyDescent="0.2">
      <c r="B12" s="43" t="s">
        <v>91</v>
      </c>
      <c r="C12" s="43" t="str">
        <f t="shared" si="1"/>
        <v>MAZOWIECKIE</v>
      </c>
      <c r="D12" s="54" t="s">
        <v>474</v>
      </c>
      <c r="E12" s="55">
        <v>141274828</v>
      </c>
      <c r="F12" s="55" t="s">
        <v>475</v>
      </c>
      <c r="G12" s="55">
        <v>288</v>
      </c>
      <c r="H12" s="55" t="s">
        <v>476</v>
      </c>
      <c r="I12" s="56">
        <v>0</v>
      </c>
      <c r="J12" s="57" t="s">
        <v>460</v>
      </c>
      <c r="K12" s="56"/>
      <c r="L12" s="58"/>
      <c r="M12" s="56"/>
      <c r="N12" s="56"/>
      <c r="O12" s="59">
        <v>43951</v>
      </c>
    </row>
    <row r="13" spans="2:15" ht="38.25" x14ac:dyDescent="0.2">
      <c r="B13" s="43" t="s">
        <v>91</v>
      </c>
      <c r="C13" s="43" t="str">
        <f t="shared" si="1"/>
        <v>MAZOWIECKIE</v>
      </c>
      <c r="D13" s="54" t="s">
        <v>477</v>
      </c>
      <c r="E13" s="55">
        <v>36978998</v>
      </c>
      <c r="F13" s="55" t="s">
        <v>478</v>
      </c>
      <c r="G13" s="55">
        <v>23</v>
      </c>
      <c r="H13" s="55" t="s">
        <v>479</v>
      </c>
      <c r="I13" s="56">
        <v>0</v>
      </c>
      <c r="J13" s="56" t="s">
        <v>480</v>
      </c>
      <c r="K13" s="56"/>
      <c r="L13" s="56"/>
      <c r="M13" s="56"/>
      <c r="N13" s="56"/>
      <c r="O13" s="60">
        <v>43955</v>
      </c>
    </row>
    <row r="14" spans="2:15" ht="38.25" x14ac:dyDescent="0.2">
      <c r="B14" s="43" t="s">
        <v>91</v>
      </c>
      <c r="C14" s="43" t="str">
        <f t="shared" si="1"/>
        <v>MAZOWIECKIE</v>
      </c>
      <c r="D14" s="54" t="s">
        <v>481</v>
      </c>
      <c r="E14" s="61">
        <v>360451330</v>
      </c>
      <c r="F14" s="55" t="s">
        <v>482</v>
      </c>
      <c r="G14" s="55">
        <v>105</v>
      </c>
      <c r="H14" s="55" t="s">
        <v>483</v>
      </c>
      <c r="I14" s="56">
        <v>0</v>
      </c>
      <c r="J14" s="57" t="s">
        <v>463</v>
      </c>
      <c r="K14" s="56"/>
      <c r="L14" s="58"/>
      <c r="M14" s="56"/>
      <c r="N14" s="56"/>
      <c r="O14" s="58" t="s">
        <v>484</v>
      </c>
    </row>
    <row r="15" spans="2:15" ht="38.25" x14ac:dyDescent="0.2">
      <c r="B15" s="43" t="s">
        <v>91</v>
      </c>
      <c r="C15" s="43" t="str">
        <f t="shared" si="1"/>
        <v>MAZOWIECKIE</v>
      </c>
      <c r="D15" s="54" t="s">
        <v>485</v>
      </c>
      <c r="E15" s="48">
        <v>380471972</v>
      </c>
      <c r="F15" s="47" t="s">
        <v>486</v>
      </c>
      <c r="G15" s="62">
        <v>32</v>
      </c>
      <c r="H15" s="57" t="s">
        <v>487</v>
      </c>
      <c r="I15" s="56">
        <v>0</v>
      </c>
      <c r="J15" s="57" t="s">
        <v>480</v>
      </c>
      <c r="K15" s="56"/>
      <c r="L15" s="56"/>
      <c r="M15" s="56"/>
      <c r="N15" s="56"/>
      <c r="O15" s="60">
        <v>43966</v>
      </c>
    </row>
    <row r="16" spans="2:15" ht="25.5" x14ac:dyDescent="0.2">
      <c r="B16" s="43" t="s">
        <v>91</v>
      </c>
      <c r="C16" s="43" t="str">
        <f t="shared" si="1"/>
        <v>MAZOWIECKIE</v>
      </c>
      <c r="D16" s="63" t="s">
        <v>488</v>
      </c>
      <c r="E16" s="64">
        <v>11180864</v>
      </c>
      <c r="F16" s="47" t="s">
        <v>489</v>
      </c>
      <c r="G16" s="56">
        <v>130</v>
      </c>
      <c r="H16" s="57" t="s">
        <v>490</v>
      </c>
      <c r="I16" s="56">
        <v>0</v>
      </c>
      <c r="J16" s="65" t="s">
        <v>480</v>
      </c>
      <c r="K16" s="56"/>
      <c r="L16" s="56"/>
      <c r="M16" s="56"/>
      <c r="N16" s="56"/>
      <c r="O16" s="60">
        <v>43970</v>
      </c>
    </row>
    <row r="17" spans="2:15" ht="51" x14ac:dyDescent="0.2">
      <c r="B17" s="43" t="s">
        <v>91</v>
      </c>
      <c r="C17" s="43" t="str">
        <f t="shared" si="1"/>
        <v>MAZOWIECKIE</v>
      </c>
      <c r="D17" s="66" t="s">
        <v>491</v>
      </c>
      <c r="E17" s="67">
        <v>271173609</v>
      </c>
      <c r="F17" s="47" t="s">
        <v>465</v>
      </c>
      <c r="G17" s="55">
        <v>7</v>
      </c>
      <c r="H17" s="55" t="s">
        <v>492</v>
      </c>
      <c r="I17" s="56">
        <v>0</v>
      </c>
      <c r="J17" s="57" t="s">
        <v>463</v>
      </c>
      <c r="K17" s="30"/>
      <c r="L17" s="30"/>
      <c r="M17" s="30"/>
      <c r="N17" s="30"/>
      <c r="O17" s="60">
        <v>43963</v>
      </c>
    </row>
    <row r="18" spans="2:15" ht="63.75" x14ac:dyDescent="0.2">
      <c r="B18" s="43" t="s">
        <v>91</v>
      </c>
      <c r="C18" s="43" t="str">
        <f t="shared" si="1"/>
        <v>MAZOWIECKIE</v>
      </c>
      <c r="D18" s="54" t="s">
        <v>493</v>
      </c>
      <c r="E18" s="48">
        <v>16890033</v>
      </c>
      <c r="F18" s="48" t="s">
        <v>494</v>
      </c>
      <c r="G18" s="56">
        <v>75</v>
      </c>
      <c r="H18" s="65" t="s">
        <v>495</v>
      </c>
      <c r="I18" s="56">
        <v>0</v>
      </c>
      <c r="J18" s="56" t="s">
        <v>496</v>
      </c>
      <c r="K18" s="56"/>
      <c r="L18" s="56"/>
      <c r="M18" s="56"/>
      <c r="N18" s="56"/>
      <c r="O18" s="60">
        <v>43978</v>
      </c>
    </row>
    <row r="19" spans="2:15" ht="38.25" x14ac:dyDescent="0.2">
      <c r="B19" s="43" t="s">
        <v>91</v>
      </c>
      <c r="C19" s="43" t="str">
        <f t="shared" si="1"/>
        <v>MAZOWIECKIE</v>
      </c>
      <c r="D19" s="54" t="s">
        <v>497</v>
      </c>
      <c r="E19" s="55">
        <v>14088671</v>
      </c>
      <c r="F19" s="48" t="s">
        <v>498</v>
      </c>
      <c r="G19" s="55">
        <v>1971</v>
      </c>
      <c r="H19" s="55" t="s">
        <v>499</v>
      </c>
      <c r="I19" s="56">
        <v>1971</v>
      </c>
      <c r="J19" s="56" t="s">
        <v>463</v>
      </c>
      <c r="K19" s="56"/>
      <c r="L19" s="56"/>
      <c r="M19" s="56"/>
      <c r="N19" s="56"/>
      <c r="O19" s="60">
        <v>43976</v>
      </c>
    </row>
    <row r="20" spans="2:15" ht="38.25" x14ac:dyDescent="0.2">
      <c r="B20" s="43" t="s">
        <v>91</v>
      </c>
      <c r="C20" s="43" t="str">
        <f t="shared" si="1"/>
        <v>MAZOWIECKIE</v>
      </c>
      <c r="D20" s="63" t="s">
        <v>500</v>
      </c>
      <c r="E20" s="68" t="s">
        <v>501</v>
      </c>
      <c r="F20" s="48" t="s">
        <v>502</v>
      </c>
      <c r="G20" s="55">
        <v>988</v>
      </c>
      <c r="H20" s="55" t="s">
        <v>476</v>
      </c>
      <c r="I20" s="56">
        <v>988</v>
      </c>
      <c r="J20" s="56" t="s">
        <v>463</v>
      </c>
      <c r="K20" s="30"/>
      <c r="L20" s="30"/>
      <c r="M20" s="30"/>
      <c r="N20" s="30"/>
      <c r="O20" s="60">
        <v>43978</v>
      </c>
    </row>
    <row r="21" spans="2:15" ht="38.25" x14ac:dyDescent="0.2">
      <c r="B21" s="43" t="s">
        <v>91</v>
      </c>
      <c r="C21" s="43" t="str">
        <f t="shared" si="1"/>
        <v>MAZOWIECKIE</v>
      </c>
      <c r="D21" s="63" t="s">
        <v>503</v>
      </c>
      <c r="E21" s="48">
        <v>360299164</v>
      </c>
      <c r="F21" s="48" t="s">
        <v>504</v>
      </c>
      <c r="G21" s="55">
        <v>37</v>
      </c>
      <c r="H21" s="55" t="s">
        <v>490</v>
      </c>
      <c r="I21" s="55">
        <v>0</v>
      </c>
      <c r="J21" s="56" t="s">
        <v>463</v>
      </c>
      <c r="K21" s="30"/>
      <c r="L21" s="30"/>
      <c r="M21" s="30"/>
      <c r="N21" s="30"/>
      <c r="O21" s="60">
        <v>43979</v>
      </c>
    </row>
    <row r="22" spans="2:15" ht="38.25" x14ac:dyDescent="0.2">
      <c r="B22" s="43" t="s">
        <v>91</v>
      </c>
      <c r="C22" s="43" t="str">
        <f t="shared" si="1"/>
        <v>MAZOWIECKIE</v>
      </c>
      <c r="D22" s="54" t="s">
        <v>505</v>
      </c>
      <c r="E22" s="68" t="s">
        <v>506</v>
      </c>
      <c r="F22" s="55" t="s">
        <v>473</v>
      </c>
      <c r="G22" s="56">
        <v>0</v>
      </c>
      <c r="H22" s="56">
        <v>0</v>
      </c>
      <c r="I22" s="56">
        <v>0</v>
      </c>
      <c r="J22" s="56">
        <v>0</v>
      </c>
      <c r="K22" s="56">
        <v>70</v>
      </c>
      <c r="L22" s="62">
        <v>0</v>
      </c>
      <c r="M22" s="62">
        <v>0</v>
      </c>
      <c r="N22" s="62">
        <v>0</v>
      </c>
      <c r="O22" s="60">
        <v>43983</v>
      </c>
    </row>
    <row r="23" spans="2:15" ht="38.25" x14ac:dyDescent="0.2">
      <c r="B23" s="43" t="s">
        <v>91</v>
      </c>
      <c r="C23" s="43" t="str">
        <f t="shared" si="1"/>
        <v>MAZOWIECKIE</v>
      </c>
      <c r="D23" s="63" t="s">
        <v>507</v>
      </c>
      <c r="E23" s="69" t="s">
        <v>508</v>
      </c>
      <c r="F23" s="69" t="s">
        <v>509</v>
      </c>
      <c r="G23" s="56">
        <v>0</v>
      </c>
      <c r="H23" s="56">
        <v>0</v>
      </c>
      <c r="I23" s="56">
        <v>0</v>
      </c>
      <c r="J23" s="56">
        <v>0</v>
      </c>
      <c r="K23" s="56">
        <v>22</v>
      </c>
      <c r="L23" s="56">
        <v>0</v>
      </c>
      <c r="M23" s="56">
        <v>0</v>
      </c>
      <c r="N23" s="56">
        <v>0</v>
      </c>
      <c r="O23" s="60">
        <v>43978</v>
      </c>
    </row>
    <row r="24" spans="2:15" ht="38.25" x14ac:dyDescent="0.2">
      <c r="B24" s="43" t="s">
        <v>91</v>
      </c>
      <c r="C24" s="43" t="str">
        <f t="shared" si="1"/>
        <v>MAZOWIECKIE</v>
      </c>
      <c r="D24" s="63" t="s">
        <v>510</v>
      </c>
      <c r="E24" s="69">
        <v>15206780</v>
      </c>
      <c r="F24" s="69" t="s">
        <v>504</v>
      </c>
      <c r="G24" s="56">
        <v>0</v>
      </c>
      <c r="H24" s="56">
        <v>0</v>
      </c>
      <c r="I24" s="56">
        <v>0</v>
      </c>
      <c r="J24" s="56">
        <v>0</v>
      </c>
      <c r="K24" s="56">
        <v>1</v>
      </c>
      <c r="L24" s="56">
        <v>0</v>
      </c>
      <c r="M24" s="56">
        <v>0</v>
      </c>
      <c r="N24" s="56">
        <v>0</v>
      </c>
      <c r="O24" s="60">
        <v>43978</v>
      </c>
    </row>
    <row r="25" spans="2:15" ht="38.25" x14ac:dyDescent="0.2">
      <c r="B25" s="43" t="s">
        <v>91</v>
      </c>
      <c r="C25" s="43" t="str">
        <f t="shared" si="1"/>
        <v>MAZOWIECKIE</v>
      </c>
      <c r="D25" s="63" t="s">
        <v>511</v>
      </c>
      <c r="E25" s="70" t="s">
        <v>512</v>
      </c>
      <c r="F25" s="55" t="s">
        <v>472</v>
      </c>
      <c r="G25" s="56">
        <v>0</v>
      </c>
      <c r="H25" s="56">
        <v>0</v>
      </c>
      <c r="I25" s="56">
        <v>0</v>
      </c>
      <c r="J25" s="56">
        <v>0</v>
      </c>
      <c r="K25" s="56">
        <v>12</v>
      </c>
      <c r="L25" s="56">
        <v>0</v>
      </c>
      <c r="M25" s="56">
        <v>0</v>
      </c>
      <c r="N25" s="56">
        <v>0</v>
      </c>
      <c r="O25" s="60">
        <v>43978</v>
      </c>
    </row>
    <row r="26" spans="2:15" ht="51" x14ac:dyDescent="0.2">
      <c r="B26" s="43" t="s">
        <v>91</v>
      </c>
      <c r="C26" s="43" t="str">
        <f t="shared" si="1"/>
        <v>MAZOWIECKIE</v>
      </c>
      <c r="D26" s="63" t="s">
        <v>513</v>
      </c>
      <c r="E26" s="70" t="s">
        <v>514</v>
      </c>
      <c r="F26" s="55" t="s">
        <v>515</v>
      </c>
      <c r="G26" s="56">
        <v>0</v>
      </c>
      <c r="H26" s="56">
        <v>0</v>
      </c>
      <c r="I26" s="56">
        <v>0</v>
      </c>
      <c r="J26" s="56">
        <v>0</v>
      </c>
      <c r="K26" s="56">
        <v>18</v>
      </c>
      <c r="L26" s="56">
        <v>0</v>
      </c>
      <c r="M26" s="56">
        <v>0</v>
      </c>
      <c r="N26" s="56">
        <v>0</v>
      </c>
      <c r="O26" s="60">
        <v>43979</v>
      </c>
    </row>
    <row r="27" spans="2:15" ht="38.25" x14ac:dyDescent="0.2">
      <c r="B27" s="43" t="s">
        <v>91</v>
      </c>
      <c r="C27" s="43" t="str">
        <f t="shared" si="1"/>
        <v>MAZOWIECKIE</v>
      </c>
      <c r="D27" s="54" t="s">
        <v>516</v>
      </c>
      <c r="E27" s="71" t="s">
        <v>517</v>
      </c>
      <c r="F27" s="55" t="s">
        <v>518</v>
      </c>
      <c r="G27" s="56">
        <v>0</v>
      </c>
      <c r="H27" s="56">
        <v>0</v>
      </c>
      <c r="I27" s="56">
        <v>0</v>
      </c>
      <c r="J27" s="56">
        <v>0</v>
      </c>
      <c r="K27" s="56">
        <v>1</v>
      </c>
      <c r="L27" s="56">
        <v>0</v>
      </c>
      <c r="M27" s="56">
        <v>0</v>
      </c>
      <c r="N27" s="56">
        <v>0</v>
      </c>
      <c r="O27" s="60">
        <v>43979</v>
      </c>
    </row>
    <row r="28" spans="2:15" ht="38.25" x14ac:dyDescent="0.2">
      <c r="B28" s="43" t="s">
        <v>91</v>
      </c>
      <c r="C28" s="43" t="str">
        <f t="shared" si="1"/>
        <v>MAZOWIECKIE</v>
      </c>
      <c r="D28" s="63" t="s">
        <v>519</v>
      </c>
      <c r="E28" s="48" t="s">
        <v>520</v>
      </c>
      <c r="F28" s="48" t="s">
        <v>521</v>
      </c>
      <c r="G28" s="56">
        <v>0</v>
      </c>
      <c r="H28" s="56">
        <v>0</v>
      </c>
      <c r="I28" s="56">
        <v>0</v>
      </c>
      <c r="J28" s="56">
        <v>0</v>
      </c>
      <c r="K28" s="56">
        <v>39</v>
      </c>
      <c r="L28" s="48">
        <v>0</v>
      </c>
      <c r="M28" s="48">
        <v>0</v>
      </c>
      <c r="N28" s="56">
        <v>0</v>
      </c>
      <c r="O28" s="60">
        <v>43978</v>
      </c>
    </row>
    <row r="29" spans="2:15" ht="38.25" x14ac:dyDescent="0.2">
      <c r="B29" s="43" t="s">
        <v>91</v>
      </c>
      <c r="C29" s="43" t="str">
        <f t="shared" si="1"/>
        <v>MAZOWIECKIE</v>
      </c>
      <c r="D29" s="63" t="s">
        <v>522</v>
      </c>
      <c r="E29" s="49" t="s">
        <v>523</v>
      </c>
      <c r="F29" s="55" t="s">
        <v>521</v>
      </c>
      <c r="G29" s="56">
        <v>0</v>
      </c>
      <c r="H29" s="56">
        <v>0</v>
      </c>
      <c r="I29" s="56">
        <v>0</v>
      </c>
      <c r="J29" s="56">
        <v>0</v>
      </c>
      <c r="K29" s="62">
        <v>11</v>
      </c>
      <c r="L29" s="48">
        <v>0</v>
      </c>
      <c r="M29" s="48">
        <v>0</v>
      </c>
      <c r="N29" s="56">
        <v>0</v>
      </c>
      <c r="O29" s="60">
        <v>43983</v>
      </c>
    </row>
    <row r="30" spans="2:15" ht="38.25" x14ac:dyDescent="0.2">
      <c r="B30" s="43" t="s">
        <v>91</v>
      </c>
      <c r="C30" s="43" t="str">
        <f t="shared" si="1"/>
        <v>MAZOWIECKIE</v>
      </c>
      <c r="D30" s="54" t="s">
        <v>524</v>
      </c>
      <c r="E30" s="48">
        <v>16298263</v>
      </c>
      <c r="F30" s="48" t="s">
        <v>472</v>
      </c>
      <c r="G30" s="56">
        <v>0</v>
      </c>
      <c r="H30" s="56">
        <v>0</v>
      </c>
      <c r="I30" s="56">
        <v>0</v>
      </c>
      <c r="J30" s="56">
        <v>0</v>
      </c>
      <c r="K30" s="62">
        <v>1</v>
      </c>
      <c r="L30" s="48">
        <v>0</v>
      </c>
      <c r="M30" s="48">
        <v>0</v>
      </c>
      <c r="N30" s="56">
        <v>0</v>
      </c>
      <c r="O30" s="60">
        <v>43978</v>
      </c>
    </row>
    <row r="31" spans="2:15" ht="38.25" x14ac:dyDescent="0.2">
      <c r="B31" s="43" t="s">
        <v>91</v>
      </c>
      <c r="C31" s="43" t="str">
        <f t="shared" si="1"/>
        <v>MAZOWIECKIE</v>
      </c>
      <c r="D31" s="54" t="s">
        <v>525</v>
      </c>
      <c r="E31" s="47">
        <v>12516102</v>
      </c>
      <c r="F31" s="55" t="s">
        <v>526</v>
      </c>
      <c r="G31" s="56">
        <v>0</v>
      </c>
      <c r="H31" s="56">
        <v>0</v>
      </c>
      <c r="I31" s="56">
        <v>0</v>
      </c>
      <c r="J31" s="56">
        <v>0</v>
      </c>
      <c r="K31" s="56">
        <v>3</v>
      </c>
      <c r="L31" s="56">
        <v>0</v>
      </c>
      <c r="M31" s="56">
        <v>0</v>
      </c>
      <c r="N31" s="56">
        <v>0</v>
      </c>
      <c r="O31" s="60">
        <v>43978</v>
      </c>
    </row>
    <row r="32" spans="2:15" ht="38.25" x14ac:dyDescent="0.2">
      <c r="B32" s="43" t="s">
        <v>91</v>
      </c>
      <c r="C32" s="43" t="str">
        <f t="shared" si="1"/>
        <v>MAZOWIECKIE</v>
      </c>
      <c r="D32" s="54" t="s">
        <v>527</v>
      </c>
      <c r="E32" s="72">
        <v>831351006</v>
      </c>
      <c r="F32" s="55" t="s">
        <v>486</v>
      </c>
      <c r="G32" s="62">
        <v>0</v>
      </c>
      <c r="H32" s="62">
        <v>0</v>
      </c>
      <c r="I32" s="62">
        <v>0</v>
      </c>
      <c r="J32" s="62">
        <v>0</v>
      </c>
      <c r="K32" s="56">
        <v>43</v>
      </c>
      <c r="L32" s="56">
        <v>0</v>
      </c>
      <c r="M32" s="56">
        <v>0</v>
      </c>
      <c r="N32" s="56">
        <v>0</v>
      </c>
      <c r="O32" s="60">
        <v>43978</v>
      </c>
    </row>
    <row r="33" spans="2:15" ht="25.5" x14ac:dyDescent="0.2">
      <c r="B33" s="43" t="s">
        <v>91</v>
      </c>
      <c r="C33" s="43" t="str">
        <f t="shared" si="1"/>
        <v>MAZOWIECKIE</v>
      </c>
      <c r="D33" s="54" t="s">
        <v>528</v>
      </c>
      <c r="E33" s="71" t="s">
        <v>529</v>
      </c>
      <c r="F33" s="47" t="s">
        <v>530</v>
      </c>
      <c r="G33" s="62">
        <v>0</v>
      </c>
      <c r="H33" s="62">
        <v>0</v>
      </c>
      <c r="I33" s="62">
        <v>0</v>
      </c>
      <c r="J33" s="62">
        <v>0</v>
      </c>
      <c r="K33" s="56">
        <v>14</v>
      </c>
      <c r="L33" s="56">
        <v>0</v>
      </c>
      <c r="M33" s="56">
        <v>0</v>
      </c>
      <c r="N33" s="56">
        <v>0</v>
      </c>
      <c r="O33" s="60">
        <v>43980</v>
      </c>
    </row>
    <row r="34" spans="2:15" ht="38.25" x14ac:dyDescent="0.2">
      <c r="B34" s="43" t="s">
        <v>91</v>
      </c>
      <c r="C34" s="43" t="str">
        <f t="shared" si="1"/>
        <v>MAZOWIECKIE</v>
      </c>
      <c r="D34" s="54" t="s">
        <v>531</v>
      </c>
      <c r="E34" s="54" t="s">
        <v>532</v>
      </c>
      <c r="F34" s="54" t="s">
        <v>472</v>
      </c>
      <c r="G34" s="62">
        <v>0</v>
      </c>
      <c r="H34" s="62">
        <v>0</v>
      </c>
      <c r="I34" s="62">
        <v>0</v>
      </c>
      <c r="J34" s="62">
        <v>0</v>
      </c>
      <c r="K34" s="56">
        <v>167</v>
      </c>
      <c r="L34" s="62">
        <v>0</v>
      </c>
      <c r="M34" s="62">
        <v>0</v>
      </c>
      <c r="N34" s="62">
        <v>0</v>
      </c>
      <c r="O34" s="60">
        <v>43983</v>
      </c>
    </row>
    <row r="35" spans="2:15" ht="38.25" x14ac:dyDescent="0.2">
      <c r="B35" s="43" t="s">
        <v>91</v>
      </c>
      <c r="C35" s="43" t="str">
        <f t="shared" si="1"/>
        <v>MAZOWIECKIE</v>
      </c>
      <c r="D35" s="54" t="s">
        <v>533</v>
      </c>
      <c r="E35" s="71" t="s">
        <v>534</v>
      </c>
      <c r="F35" s="55" t="s">
        <v>535</v>
      </c>
      <c r="G35" s="62">
        <v>0</v>
      </c>
      <c r="H35" s="62">
        <v>0</v>
      </c>
      <c r="I35" s="62">
        <v>0</v>
      </c>
      <c r="J35" s="62">
        <v>0</v>
      </c>
      <c r="K35" s="56">
        <v>65</v>
      </c>
      <c r="L35" s="62">
        <v>0</v>
      </c>
      <c r="M35" s="62">
        <v>0</v>
      </c>
      <c r="N35" s="62">
        <v>0</v>
      </c>
      <c r="O35" s="60">
        <v>43983</v>
      </c>
    </row>
    <row r="36" spans="2:15" ht="25.5" x14ac:dyDescent="0.2">
      <c r="B36" s="43" t="s">
        <v>91</v>
      </c>
      <c r="C36" s="43" t="str">
        <f t="shared" si="1"/>
        <v>MAZOWIECKIE</v>
      </c>
      <c r="D36" s="54" t="s">
        <v>536</v>
      </c>
      <c r="E36" s="71" t="s">
        <v>537</v>
      </c>
      <c r="F36" s="55" t="s">
        <v>538</v>
      </c>
      <c r="G36" s="56">
        <v>0</v>
      </c>
      <c r="H36" s="56">
        <v>0</v>
      </c>
      <c r="I36" s="56">
        <v>0</v>
      </c>
      <c r="J36" s="56">
        <v>0</v>
      </c>
      <c r="K36" s="56">
        <v>3</v>
      </c>
      <c r="L36" s="56">
        <v>0</v>
      </c>
      <c r="M36" s="56">
        <v>0</v>
      </c>
      <c r="N36" s="56">
        <v>0</v>
      </c>
      <c r="O36" s="60">
        <v>43983</v>
      </c>
    </row>
    <row r="37" spans="2:15" ht="15" x14ac:dyDescent="0.2">
      <c r="B37" s="74" t="s">
        <v>92</v>
      </c>
      <c r="C37" s="43" t="str">
        <f t="shared" si="1"/>
        <v>MAZOWIECKIE</v>
      </c>
      <c r="D37" s="46" t="s">
        <v>539</v>
      </c>
      <c r="E37" s="75">
        <v>16318511</v>
      </c>
      <c r="F37" s="14">
        <v>4771</v>
      </c>
      <c r="G37" s="14">
        <v>0</v>
      </c>
      <c r="H37" s="46" t="s">
        <v>466</v>
      </c>
      <c r="I37" s="14">
        <v>0</v>
      </c>
      <c r="J37" s="46" t="s">
        <v>540</v>
      </c>
      <c r="K37" s="14">
        <v>5</v>
      </c>
      <c r="L37" s="14">
        <v>0</v>
      </c>
      <c r="M37" s="14">
        <v>0</v>
      </c>
      <c r="N37" s="14">
        <v>0</v>
      </c>
      <c r="O37" s="73">
        <v>43920</v>
      </c>
    </row>
    <row r="38" spans="2:15" x14ac:dyDescent="0.2">
      <c r="B38" s="1" t="s">
        <v>543</v>
      </c>
      <c r="C38" s="43" t="str">
        <f t="shared" si="1"/>
        <v>MAZOWIECKIE</v>
      </c>
      <c r="D38" s="1" t="s">
        <v>464</v>
      </c>
      <c r="E38" s="14" t="s">
        <v>541</v>
      </c>
      <c r="F38" s="2" t="s">
        <v>542</v>
      </c>
      <c r="G38" s="46">
        <v>1</v>
      </c>
      <c r="H38" s="73">
        <v>44012</v>
      </c>
      <c r="I38" s="1"/>
      <c r="J38" s="1"/>
      <c r="K38" s="1"/>
      <c r="L38" s="1"/>
      <c r="M38" s="1"/>
      <c r="N38" s="1"/>
      <c r="O38" s="1"/>
    </row>
    <row r="39" spans="2:15" x14ac:dyDescent="0.2">
      <c r="B39" s="1"/>
      <c r="C39" s="43" t="str">
        <f t="shared" si="1"/>
        <v>MAZOWIECKIE</v>
      </c>
      <c r="D39" s="1"/>
      <c r="E39" s="1"/>
      <c r="F39" s="1"/>
      <c r="G39" s="1">
        <f>SUM(G8:G38)</f>
        <v>3693</v>
      </c>
      <c r="H39" s="1"/>
      <c r="I39" s="1">
        <f t="shared" ref="H39:O39" si="2">SUM(I8:I38)</f>
        <v>2959</v>
      </c>
      <c r="J39" s="1"/>
      <c r="K39" s="1">
        <f t="shared" si="2"/>
        <v>497</v>
      </c>
      <c r="L39" s="1"/>
      <c r="M39" s="1"/>
      <c r="N39" s="1"/>
      <c r="O39" s="1"/>
    </row>
    <row r="40" spans="2:15" x14ac:dyDescent="0.2">
      <c r="B40" s="1"/>
      <c r="C40" s="43" t="str">
        <f t="shared" si="1"/>
        <v>MAZOWIECKIE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x14ac:dyDescent="0.2">
      <c r="B41" s="1"/>
      <c r="C41" s="43" t="str">
        <f t="shared" si="1"/>
        <v>MAZOWIECKIE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x14ac:dyDescent="0.2">
      <c r="B42" s="1"/>
      <c r="C42" s="43" t="str">
        <f t="shared" si="1"/>
        <v>MAZOWIECKIE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x14ac:dyDescent="0.2">
      <c r="B43" s="1"/>
      <c r="C43" s="43" t="str">
        <f t="shared" si="1"/>
        <v>MAZOWIECKIE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x14ac:dyDescent="0.2">
      <c r="B44" s="1"/>
      <c r="C44" s="43" t="str">
        <f t="shared" si="1"/>
        <v>MAZOWIECKIE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x14ac:dyDescent="0.2">
      <c r="B45" s="1"/>
      <c r="C45" s="43" t="str">
        <f t="shared" si="1"/>
        <v>MAZOWIECKIE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x14ac:dyDescent="0.2">
      <c r="B46" s="1"/>
      <c r="C46" s="43" t="str">
        <f t="shared" si="1"/>
        <v>MAZOWIECKIE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x14ac:dyDescent="0.2">
      <c r="B47" s="1"/>
      <c r="C47" s="43" t="str">
        <f t="shared" si="1"/>
        <v>MAZOWIECKIE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x14ac:dyDescent="0.2">
      <c r="B48" s="1"/>
      <c r="C48" s="43" t="str">
        <f t="shared" si="1"/>
        <v>MAZOWIECKIE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x14ac:dyDescent="0.2">
      <c r="B49" s="1"/>
      <c r="C49" s="43" t="str">
        <f t="shared" si="1"/>
        <v>MAZOWIECKIE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17 L28:L30 E28 E30 E38 E8:E11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 x14ac:dyDescent="0.2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9" customWidth="1"/>
    <col min="23" max="23" width="16.140625" customWidth="1"/>
  </cols>
  <sheetData>
    <row r="1" spans="1:23" x14ac:dyDescent="0.2">
      <c r="A1" t="s">
        <v>266</v>
      </c>
      <c r="B1" t="s">
        <v>294</v>
      </c>
      <c r="C1" s="15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8" t="s">
        <v>281</v>
      </c>
      <c r="U1">
        <v>2019</v>
      </c>
      <c r="W1" s="31" t="s">
        <v>416</v>
      </c>
    </row>
    <row r="2" spans="1:23" x14ac:dyDescent="0.2">
      <c r="A2" s="15" t="s">
        <v>297</v>
      </c>
      <c r="B2" s="15" t="s">
        <v>295</v>
      </c>
      <c r="C2" s="15" t="s">
        <v>296</v>
      </c>
      <c r="D2" s="15" t="s">
        <v>372</v>
      </c>
      <c r="E2" s="15" t="s">
        <v>5</v>
      </c>
      <c r="F2" s="15" t="s">
        <v>29</v>
      </c>
      <c r="G2" t="s">
        <v>51</v>
      </c>
      <c r="H2" s="15" t="s">
        <v>30</v>
      </c>
      <c r="I2" s="15" t="s">
        <v>104</v>
      </c>
      <c r="J2" s="15" t="s">
        <v>129</v>
      </c>
      <c r="K2" s="15" t="s">
        <v>146</v>
      </c>
      <c r="L2" s="15" t="s">
        <v>165</v>
      </c>
      <c r="M2" s="15" t="s">
        <v>180</v>
      </c>
      <c r="N2" s="15" t="s">
        <v>193</v>
      </c>
      <c r="O2" s="15" t="s">
        <v>212</v>
      </c>
      <c r="P2" s="15" t="s">
        <v>241</v>
      </c>
      <c r="R2">
        <v>2</v>
      </c>
      <c r="S2" t="s">
        <v>4</v>
      </c>
      <c r="T2" s="18" t="s">
        <v>282</v>
      </c>
      <c r="U2">
        <v>2020</v>
      </c>
      <c r="W2" s="31" t="s">
        <v>418</v>
      </c>
    </row>
    <row r="3" spans="1:23" x14ac:dyDescent="0.2">
      <c r="A3" s="15" t="s">
        <v>298</v>
      </c>
      <c r="B3" s="15" t="s">
        <v>327</v>
      </c>
      <c r="C3" s="15" t="s">
        <v>349</v>
      </c>
      <c r="D3" s="15" t="s">
        <v>373</v>
      </c>
      <c r="E3" s="15" t="s">
        <v>6</v>
      </c>
      <c r="F3" s="15" t="s">
        <v>30</v>
      </c>
      <c r="G3" s="15" t="s">
        <v>52</v>
      </c>
      <c r="H3" t="s">
        <v>93</v>
      </c>
      <c r="I3" t="s">
        <v>105</v>
      </c>
      <c r="J3" t="s">
        <v>130</v>
      </c>
      <c r="K3" t="s">
        <v>147</v>
      </c>
      <c r="L3" s="15" t="s">
        <v>131</v>
      </c>
      <c r="M3" s="15" t="s">
        <v>181</v>
      </c>
      <c r="N3" s="15" t="s">
        <v>194</v>
      </c>
      <c r="O3" t="s">
        <v>213</v>
      </c>
      <c r="P3" t="s">
        <v>242</v>
      </c>
      <c r="T3" s="18" t="s">
        <v>283</v>
      </c>
      <c r="U3">
        <v>2021</v>
      </c>
      <c r="W3" s="31" t="s">
        <v>420</v>
      </c>
    </row>
    <row r="4" spans="1:23" x14ac:dyDescent="0.2">
      <c r="A4" s="15" t="s">
        <v>299</v>
      </c>
      <c r="B4" s="15" t="s">
        <v>328</v>
      </c>
      <c r="C4" s="15" t="s">
        <v>350</v>
      </c>
      <c r="D4" s="15" t="s">
        <v>374</v>
      </c>
      <c r="E4" s="15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5" t="s">
        <v>166</v>
      </c>
      <c r="M4" t="s">
        <v>182</v>
      </c>
      <c r="N4" s="15" t="s">
        <v>195</v>
      </c>
      <c r="O4" s="15" t="s">
        <v>214</v>
      </c>
      <c r="P4" t="s">
        <v>243</v>
      </c>
      <c r="T4" s="18" t="s">
        <v>284</v>
      </c>
      <c r="U4">
        <v>2022</v>
      </c>
      <c r="W4" s="31" t="s">
        <v>422</v>
      </c>
    </row>
    <row r="5" spans="1:23" x14ac:dyDescent="0.2">
      <c r="A5" s="15" t="s">
        <v>300</v>
      </c>
      <c r="B5" s="15" t="s">
        <v>329</v>
      </c>
      <c r="C5" s="15" t="s">
        <v>351</v>
      </c>
      <c r="D5" s="15" t="s">
        <v>375</v>
      </c>
      <c r="E5" s="15" t="s">
        <v>8</v>
      </c>
      <c r="F5" s="15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5" t="s">
        <v>167</v>
      </c>
      <c r="M5" t="s">
        <v>183</v>
      </c>
      <c r="N5" s="15" t="s">
        <v>196</v>
      </c>
      <c r="O5" t="s">
        <v>215</v>
      </c>
      <c r="P5" t="s">
        <v>244</v>
      </c>
      <c r="T5" s="18" t="s">
        <v>285</v>
      </c>
      <c r="U5">
        <v>2023</v>
      </c>
      <c r="W5" s="31" t="s">
        <v>424</v>
      </c>
    </row>
    <row r="6" spans="1:23" x14ac:dyDescent="0.2">
      <c r="A6" s="15" t="s">
        <v>301</v>
      </c>
      <c r="B6" s="15" t="s">
        <v>330</v>
      </c>
      <c r="C6" s="15" t="s">
        <v>352</v>
      </c>
      <c r="D6" s="15" t="s">
        <v>376</v>
      </c>
      <c r="E6" s="15" t="s">
        <v>9</v>
      </c>
      <c r="F6" t="s">
        <v>33</v>
      </c>
      <c r="G6" t="s">
        <v>55</v>
      </c>
      <c r="H6" s="15" t="s">
        <v>96</v>
      </c>
      <c r="I6" t="s">
        <v>108</v>
      </c>
      <c r="J6" t="s">
        <v>133</v>
      </c>
      <c r="K6" t="s">
        <v>150</v>
      </c>
      <c r="L6" s="15" t="s">
        <v>168</v>
      </c>
      <c r="M6" t="s">
        <v>184</v>
      </c>
      <c r="N6" s="15" t="s">
        <v>197</v>
      </c>
      <c r="O6" t="s">
        <v>55</v>
      </c>
      <c r="P6" t="s">
        <v>245</v>
      </c>
      <c r="T6" s="18" t="s">
        <v>286</v>
      </c>
      <c r="U6">
        <v>2024</v>
      </c>
      <c r="W6" s="31" t="s">
        <v>417</v>
      </c>
    </row>
    <row r="7" spans="1:23" x14ac:dyDescent="0.2">
      <c r="A7" s="15" t="s">
        <v>302</v>
      </c>
      <c r="B7" s="15" t="s">
        <v>331</v>
      </c>
      <c r="C7" s="15" t="s">
        <v>353</v>
      </c>
      <c r="D7" s="15" t="s">
        <v>377</v>
      </c>
      <c r="E7" s="15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5" t="s">
        <v>151</v>
      </c>
      <c r="L7" t="s">
        <v>169</v>
      </c>
      <c r="M7" s="15" t="s">
        <v>185</v>
      </c>
      <c r="N7" s="15" t="s">
        <v>198</v>
      </c>
      <c r="O7" t="s">
        <v>216</v>
      </c>
      <c r="P7" t="s">
        <v>246</v>
      </c>
      <c r="T7" s="18" t="s">
        <v>287</v>
      </c>
      <c r="U7">
        <v>2025</v>
      </c>
      <c r="W7" s="31" t="s">
        <v>419</v>
      </c>
    </row>
    <row r="8" spans="1:23" x14ac:dyDescent="0.2">
      <c r="A8" s="15" t="s">
        <v>303</v>
      </c>
      <c r="B8" s="15" t="s">
        <v>332</v>
      </c>
      <c r="C8" s="15" t="s">
        <v>354</v>
      </c>
      <c r="D8" s="15" t="s">
        <v>378</v>
      </c>
      <c r="E8" s="15" t="s">
        <v>10</v>
      </c>
      <c r="F8" t="s">
        <v>35</v>
      </c>
      <c r="G8" t="s">
        <v>57</v>
      </c>
      <c r="H8" t="s">
        <v>98</v>
      </c>
      <c r="I8" t="s">
        <v>110</v>
      </c>
      <c r="J8" s="15" t="s">
        <v>135</v>
      </c>
      <c r="K8" t="s">
        <v>152</v>
      </c>
      <c r="L8" s="15" t="s">
        <v>170</v>
      </c>
      <c r="M8" t="s">
        <v>186</v>
      </c>
      <c r="N8" s="15" t="s">
        <v>199</v>
      </c>
      <c r="O8" t="s">
        <v>217</v>
      </c>
      <c r="P8" t="s">
        <v>247</v>
      </c>
      <c r="T8" s="18" t="s">
        <v>288</v>
      </c>
      <c r="U8">
        <v>2026</v>
      </c>
      <c r="W8" s="31" t="s">
        <v>421</v>
      </c>
    </row>
    <row r="9" spans="1:23" x14ac:dyDescent="0.2">
      <c r="A9" s="15" t="s">
        <v>304</v>
      </c>
      <c r="B9" s="15" t="s">
        <v>333</v>
      </c>
      <c r="C9" s="15" t="s">
        <v>355</v>
      </c>
      <c r="D9" s="15" t="s">
        <v>379</v>
      </c>
      <c r="E9" s="15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5" t="s">
        <v>200</v>
      </c>
      <c r="O9" t="s">
        <v>218</v>
      </c>
      <c r="P9" t="s">
        <v>248</v>
      </c>
      <c r="T9" s="18" t="s">
        <v>289</v>
      </c>
      <c r="U9">
        <v>2027</v>
      </c>
      <c r="W9" s="31" t="s">
        <v>423</v>
      </c>
    </row>
    <row r="10" spans="1:23" x14ac:dyDescent="0.2">
      <c r="A10" s="15" t="s">
        <v>305</v>
      </c>
      <c r="B10" s="15" t="s">
        <v>334</v>
      </c>
      <c r="C10" s="15" t="s">
        <v>356</v>
      </c>
      <c r="D10" s="15" t="s">
        <v>380</v>
      </c>
      <c r="E10" s="15" t="s">
        <v>12</v>
      </c>
      <c r="F10" t="s">
        <v>37</v>
      </c>
      <c r="G10" s="15" t="s">
        <v>59</v>
      </c>
      <c r="H10" t="s">
        <v>100</v>
      </c>
      <c r="I10" t="s">
        <v>112</v>
      </c>
      <c r="J10" t="s">
        <v>137</v>
      </c>
      <c r="K10" t="s">
        <v>154</v>
      </c>
      <c r="L10" s="15" t="s">
        <v>172</v>
      </c>
      <c r="M10" s="15" t="s">
        <v>188</v>
      </c>
      <c r="N10" t="s">
        <v>201</v>
      </c>
      <c r="O10" s="15" t="s">
        <v>219</v>
      </c>
      <c r="P10" t="s">
        <v>249</v>
      </c>
      <c r="T10" s="18" t="s">
        <v>290</v>
      </c>
      <c r="U10">
        <v>2028</v>
      </c>
      <c r="W10" s="31" t="s">
        <v>425</v>
      </c>
    </row>
    <row r="11" spans="1:23" x14ac:dyDescent="0.2">
      <c r="A11" s="15" t="s">
        <v>306</v>
      </c>
      <c r="B11" s="15" t="s">
        <v>335</v>
      </c>
      <c r="C11" s="15" t="s">
        <v>357</v>
      </c>
      <c r="D11" s="15" t="s">
        <v>381</v>
      </c>
      <c r="E11" t="s">
        <v>13</v>
      </c>
      <c r="F11" t="s">
        <v>38</v>
      </c>
      <c r="G11" t="s">
        <v>60</v>
      </c>
      <c r="H11" s="15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8" t="s">
        <v>291</v>
      </c>
      <c r="U11">
        <v>2029</v>
      </c>
      <c r="W11" s="32" t="s">
        <v>426</v>
      </c>
    </row>
    <row r="12" spans="1:23" x14ac:dyDescent="0.2">
      <c r="A12" s="15" t="s">
        <v>307</v>
      </c>
      <c r="B12" s="15" t="s">
        <v>336</v>
      </c>
      <c r="C12" s="15" t="s">
        <v>358</v>
      </c>
      <c r="D12" s="15" t="s">
        <v>382</v>
      </c>
      <c r="E12" t="s">
        <v>14</v>
      </c>
      <c r="F12" s="15" t="s">
        <v>39</v>
      </c>
      <c r="G12" t="s">
        <v>61</v>
      </c>
      <c r="H12" t="s">
        <v>102</v>
      </c>
      <c r="I12" s="15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8" t="s">
        <v>292</v>
      </c>
      <c r="U12">
        <v>2030</v>
      </c>
      <c r="W12" s="32" t="s">
        <v>427</v>
      </c>
    </row>
    <row r="13" spans="1:23" x14ac:dyDescent="0.2">
      <c r="A13" s="15" t="s">
        <v>308</v>
      </c>
      <c r="B13" s="15" t="s">
        <v>337</v>
      </c>
      <c r="C13" s="15" t="s">
        <v>359</v>
      </c>
      <c r="D13" s="15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 x14ac:dyDescent="0.2">
      <c r="A14" s="15" t="s">
        <v>309</v>
      </c>
      <c r="B14" s="15" t="s">
        <v>338</v>
      </c>
      <c r="C14" s="15" t="s">
        <v>360</v>
      </c>
      <c r="D14" s="15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5" t="s">
        <v>157</v>
      </c>
      <c r="L14" t="s">
        <v>176</v>
      </c>
      <c r="M14" s="15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 x14ac:dyDescent="0.2">
      <c r="A15" s="15" t="s">
        <v>310</v>
      </c>
      <c r="B15" s="15" t="s">
        <v>339</v>
      </c>
      <c r="C15" s="15" t="s">
        <v>361</v>
      </c>
      <c r="D15" s="15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5" t="s">
        <v>386</v>
      </c>
      <c r="M15" s="15" t="s">
        <v>406</v>
      </c>
      <c r="N15" t="s">
        <v>206</v>
      </c>
      <c r="O15" t="s">
        <v>224</v>
      </c>
      <c r="P15" s="15" t="s">
        <v>254</v>
      </c>
      <c r="U15">
        <v>2033</v>
      </c>
    </row>
    <row r="16" spans="1:23" x14ac:dyDescent="0.2">
      <c r="A16" s="15" t="s">
        <v>311</v>
      </c>
      <c r="B16" s="15" t="s">
        <v>340</v>
      </c>
      <c r="C16" s="15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 x14ac:dyDescent="0.2">
      <c r="A17" s="15" t="s">
        <v>312</v>
      </c>
      <c r="B17" s="15" t="s">
        <v>341</v>
      </c>
      <c r="C17" s="15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5" t="s">
        <v>178</v>
      </c>
      <c r="N17" s="15" t="s">
        <v>208</v>
      </c>
      <c r="O17" t="s">
        <v>226</v>
      </c>
      <c r="P17" t="s">
        <v>256</v>
      </c>
      <c r="U17">
        <v>2035</v>
      </c>
    </row>
    <row r="18" spans="1:21" x14ac:dyDescent="0.2">
      <c r="A18" s="15" t="s">
        <v>313</v>
      </c>
      <c r="B18" s="15" t="s">
        <v>342</v>
      </c>
      <c r="C18" s="15" t="s">
        <v>364</v>
      </c>
      <c r="E18" s="15" t="s">
        <v>20</v>
      </c>
      <c r="F18" t="s">
        <v>45</v>
      </c>
      <c r="G18" t="s">
        <v>67</v>
      </c>
      <c r="I18" t="s">
        <v>120</v>
      </c>
      <c r="J18" s="15" t="s">
        <v>145</v>
      </c>
      <c r="K18" t="s">
        <v>161</v>
      </c>
      <c r="L18" s="15" t="s">
        <v>179</v>
      </c>
      <c r="N18" s="15" t="s">
        <v>209</v>
      </c>
      <c r="O18" t="s">
        <v>66</v>
      </c>
      <c r="P18" s="15" t="s">
        <v>257</v>
      </c>
      <c r="U18">
        <v>2036</v>
      </c>
    </row>
    <row r="19" spans="1:21" x14ac:dyDescent="0.2">
      <c r="A19" s="15" t="s">
        <v>314</v>
      </c>
      <c r="B19" s="15" t="s">
        <v>343</v>
      </c>
      <c r="C19" s="15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5" t="s">
        <v>390</v>
      </c>
      <c r="N19" t="s">
        <v>210</v>
      </c>
      <c r="O19" t="s">
        <v>227</v>
      </c>
      <c r="P19" s="15" t="s">
        <v>258</v>
      </c>
    </row>
    <row r="20" spans="1:21" x14ac:dyDescent="0.2">
      <c r="A20" s="15" t="s">
        <v>315</v>
      </c>
      <c r="B20" s="15" t="s">
        <v>344</v>
      </c>
      <c r="C20" s="15" t="s">
        <v>366</v>
      </c>
      <c r="E20" t="s">
        <v>22</v>
      </c>
      <c r="F20" t="s">
        <v>47</v>
      </c>
      <c r="G20" s="15" t="s">
        <v>69</v>
      </c>
      <c r="I20" s="15" t="s">
        <v>122</v>
      </c>
      <c r="K20" s="15" t="s">
        <v>163</v>
      </c>
      <c r="L20" s="15" t="s">
        <v>389</v>
      </c>
      <c r="N20" s="15" t="s">
        <v>211</v>
      </c>
      <c r="O20" t="s">
        <v>228</v>
      </c>
      <c r="P20" s="15" t="s">
        <v>415</v>
      </c>
    </row>
    <row r="21" spans="1:21" x14ac:dyDescent="0.2">
      <c r="A21" s="15" t="s">
        <v>316</v>
      </c>
      <c r="B21" s="15" t="s">
        <v>345</v>
      </c>
      <c r="C21" s="15" t="s">
        <v>367</v>
      </c>
      <c r="E21" t="s">
        <v>23</v>
      </c>
      <c r="F21" t="s">
        <v>48</v>
      </c>
      <c r="G21" t="s">
        <v>70</v>
      </c>
      <c r="I21" t="s">
        <v>123</v>
      </c>
      <c r="K21" s="15" t="s">
        <v>164</v>
      </c>
      <c r="L21" s="15" t="s">
        <v>388</v>
      </c>
      <c r="N21" s="15" t="s">
        <v>407</v>
      </c>
      <c r="O21" s="15" t="s">
        <v>229</v>
      </c>
      <c r="P21" s="15" t="s">
        <v>414</v>
      </c>
    </row>
    <row r="22" spans="1:21" x14ac:dyDescent="0.2">
      <c r="A22" s="15" t="s">
        <v>317</v>
      </c>
      <c r="B22" s="15" t="s">
        <v>346</v>
      </c>
      <c r="C22" s="15" t="s">
        <v>368</v>
      </c>
      <c r="E22" t="s">
        <v>24</v>
      </c>
      <c r="F22" t="s">
        <v>49</v>
      </c>
      <c r="G22" t="s">
        <v>71</v>
      </c>
      <c r="I22" t="s">
        <v>124</v>
      </c>
      <c r="L22" s="15" t="s">
        <v>387</v>
      </c>
      <c r="N22" s="15" t="s">
        <v>408</v>
      </c>
      <c r="O22" t="s">
        <v>230</v>
      </c>
      <c r="P22" s="15" t="s">
        <v>413</v>
      </c>
    </row>
    <row r="23" spans="1:21" x14ac:dyDescent="0.2">
      <c r="A23" s="15" t="s">
        <v>318</v>
      </c>
      <c r="B23" s="15" t="s">
        <v>347</v>
      </c>
      <c r="C23" s="15" t="s">
        <v>369</v>
      </c>
      <c r="E23" t="s">
        <v>26</v>
      </c>
      <c r="F23" t="s">
        <v>50</v>
      </c>
      <c r="G23" t="s">
        <v>72</v>
      </c>
      <c r="I23" t="s">
        <v>125</v>
      </c>
      <c r="L23" s="15" t="s">
        <v>391</v>
      </c>
      <c r="O23" t="s">
        <v>231</v>
      </c>
    </row>
    <row r="24" spans="1:21" x14ac:dyDescent="0.2">
      <c r="A24" s="15" t="s">
        <v>319</v>
      </c>
      <c r="B24" s="15" t="s">
        <v>348</v>
      </c>
      <c r="C24" s="15" t="s">
        <v>370</v>
      </c>
      <c r="E24" s="15" t="s">
        <v>27</v>
      </c>
      <c r="G24" t="s">
        <v>73</v>
      </c>
      <c r="I24" t="s">
        <v>126</v>
      </c>
      <c r="L24" s="15" t="s">
        <v>392</v>
      </c>
      <c r="O24" t="s">
        <v>232</v>
      </c>
    </row>
    <row r="25" spans="1:21" x14ac:dyDescent="0.2">
      <c r="A25" s="15" t="s">
        <v>320</v>
      </c>
      <c r="C25" s="15" t="s">
        <v>371</v>
      </c>
      <c r="E25" t="s">
        <v>28</v>
      </c>
      <c r="G25" t="s">
        <v>74</v>
      </c>
      <c r="I25" t="s">
        <v>127</v>
      </c>
      <c r="L25" s="15" t="s">
        <v>393</v>
      </c>
      <c r="O25" t="s">
        <v>233</v>
      </c>
    </row>
    <row r="26" spans="1:21" x14ac:dyDescent="0.2">
      <c r="A26" s="15" t="s">
        <v>321</v>
      </c>
      <c r="G26" t="s">
        <v>75</v>
      </c>
      <c r="I26" s="15" t="s">
        <v>128</v>
      </c>
      <c r="L26" s="15" t="s">
        <v>394</v>
      </c>
      <c r="O26" t="s">
        <v>234</v>
      </c>
    </row>
    <row r="27" spans="1:21" x14ac:dyDescent="0.2">
      <c r="A27" s="15" t="s">
        <v>322</v>
      </c>
      <c r="G27" t="s">
        <v>76</v>
      </c>
      <c r="L27" s="15" t="s">
        <v>395</v>
      </c>
      <c r="O27" t="s">
        <v>235</v>
      </c>
    </row>
    <row r="28" spans="1:21" x14ac:dyDescent="0.2">
      <c r="A28" s="15" t="s">
        <v>323</v>
      </c>
      <c r="G28" t="s">
        <v>77</v>
      </c>
      <c r="L28" s="15" t="s">
        <v>396</v>
      </c>
      <c r="O28" s="15" t="s">
        <v>236</v>
      </c>
    </row>
    <row r="29" spans="1:21" x14ac:dyDescent="0.2">
      <c r="A29" s="15" t="s">
        <v>324</v>
      </c>
      <c r="G29" t="s">
        <v>78</v>
      </c>
      <c r="L29" s="15" t="s">
        <v>397</v>
      </c>
      <c r="O29" t="s">
        <v>237</v>
      </c>
    </row>
    <row r="30" spans="1:21" x14ac:dyDescent="0.2">
      <c r="A30" s="15" t="s">
        <v>325</v>
      </c>
      <c r="G30" t="s">
        <v>79</v>
      </c>
      <c r="L30" s="15" t="s">
        <v>398</v>
      </c>
      <c r="O30" t="s">
        <v>238</v>
      </c>
    </row>
    <row r="31" spans="1:21" x14ac:dyDescent="0.2">
      <c r="A31" s="15" t="s">
        <v>326</v>
      </c>
      <c r="G31" t="s">
        <v>80</v>
      </c>
      <c r="L31" s="15" t="s">
        <v>399</v>
      </c>
      <c r="O31" s="15" t="s">
        <v>239</v>
      </c>
    </row>
    <row r="32" spans="1:21" x14ac:dyDescent="0.2">
      <c r="G32" s="15" t="s">
        <v>92</v>
      </c>
      <c r="L32" s="15" t="s">
        <v>400</v>
      </c>
      <c r="O32" s="15" t="s">
        <v>240</v>
      </c>
    </row>
    <row r="33" spans="7:15" x14ac:dyDescent="0.2">
      <c r="G33" t="s">
        <v>81</v>
      </c>
      <c r="L33" s="15" t="s">
        <v>401</v>
      </c>
      <c r="O33" s="15" t="s">
        <v>412</v>
      </c>
    </row>
    <row r="34" spans="7:15" x14ac:dyDescent="0.2">
      <c r="G34" t="s">
        <v>82</v>
      </c>
      <c r="L34" s="15" t="s">
        <v>402</v>
      </c>
      <c r="O34" s="15" t="s">
        <v>411</v>
      </c>
    </row>
    <row r="35" spans="7:15" x14ac:dyDescent="0.2">
      <c r="G35" t="s">
        <v>83</v>
      </c>
      <c r="L35" s="15" t="s">
        <v>403</v>
      </c>
      <c r="O35" s="15" t="s">
        <v>409</v>
      </c>
    </row>
    <row r="36" spans="7:15" x14ac:dyDescent="0.2">
      <c r="G36" t="s">
        <v>84</v>
      </c>
      <c r="L36" s="15" t="s">
        <v>404</v>
      </c>
      <c r="O36" s="15" t="s">
        <v>410</v>
      </c>
    </row>
    <row r="37" spans="7:15" x14ac:dyDescent="0.2">
      <c r="G37" t="s">
        <v>85</v>
      </c>
      <c r="L37" s="15" t="s">
        <v>405</v>
      </c>
    </row>
    <row r="38" spans="7:15" x14ac:dyDescent="0.2">
      <c r="G38" t="s">
        <v>86</v>
      </c>
    </row>
    <row r="39" spans="7:15" x14ac:dyDescent="0.2">
      <c r="G39" t="s">
        <v>87</v>
      </c>
    </row>
    <row r="40" spans="7:15" x14ac:dyDescent="0.2">
      <c r="G40" t="s">
        <v>88</v>
      </c>
    </row>
    <row r="41" spans="7:15" x14ac:dyDescent="0.2">
      <c r="G41" t="s">
        <v>89</v>
      </c>
    </row>
    <row r="42" spans="7:15" x14ac:dyDescent="0.2">
      <c r="G42" t="s">
        <v>90</v>
      </c>
    </row>
    <row r="43" spans="7:15" x14ac:dyDescent="0.2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2018-12-18T11:00:56Z</cp:lastPrinted>
  <dcterms:created xsi:type="dcterms:W3CDTF">2009-02-04T13:09:17Z</dcterms:created>
  <dcterms:modified xsi:type="dcterms:W3CDTF">2020-11-17T10:10:20Z</dcterms:modified>
</cp:coreProperties>
</file>
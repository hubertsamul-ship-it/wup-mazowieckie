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4\"/>
    </mc:Choice>
  </mc:AlternateContent>
  <xr:revisionPtr revIDLastSave="0" documentId="13_ncr:1_{01EA52C0-FA8A-4B4C-9942-93FC0DC33C6C}" xr6:coauthVersionLast="47" xr6:coauthVersionMax="47" xr10:uidLastSave="{00000000-0000-0000-0000-000000000000}"/>
  <bookViews>
    <workbookView xWindow="57480" yWindow="8700" windowWidth="29040" windowHeight="157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5" l="1"/>
  <c r="G24" i="5"/>
  <c r="R45" i="5" l="1"/>
  <c r="E2" i="5"/>
  <c r="D2" i="5"/>
  <c r="C2" i="5" l="1"/>
</calcChain>
</file>

<file path=xl/sharedStrings.xml><?xml version="1.0" encoding="utf-8"?>
<sst xmlns="http://schemas.openxmlformats.org/spreadsheetml/2006/main" count="548" uniqueCount="505">
  <si>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</si>
  <si>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</si>
  <si>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</si>
  <si>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</si>
  <si>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</si>
  <si>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</si>
  <si>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</si>
  <si>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</si>
  <si>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</si>
  <si>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</si>
  <si>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</si>
  <si>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</si>
  <si>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</si>
  <si>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</si>
  <si>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</si>
  <si>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</si>
  <si>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</si>
  <si>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</si>
  <si>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</si>
  <si>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</si>
  <si>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</si>
  <si>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</si>
  <si>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</si>
  <si>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</si>
  <si>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</si>
  <si>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</si>
  <si>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</si>
  <si>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</si>
  <si>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</si>
  <si>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</si>
  <si>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</si>
  <si>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</si>
  <si>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</si>
  <si>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</si>
  <si>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</si>
  <si>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</si>
  <si>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</si>
  <si>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</si>
  <si>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</si>
  <si>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</si>
  <si>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</si>
  <si>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</si>
  <si>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</si>
  <si>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</si>
  <si>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</si>
  <si>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</si>
  <si>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</si>
  <si>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</si>
  <si>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</si>
  <si>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</si>
  <si>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</si>
  <si>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</si>
  <si>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</si>
  <si>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</si>
  <si>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</si>
  <si>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</si>
  <si>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</si>
  <si>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</si>
  <si>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</si>
  <si>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</si>
  <si>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</si>
  <si>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</si>
  <si>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</si>
  <si>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</si>
  <si>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</si>
  <si>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</si>
  <si>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</si>
  <si>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</si>
  <si>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</si>
  <si>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</si>
  <si>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</si>
  <si>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</si>
  <si>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</si>
  <si>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</si>
  <si>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</si>
  <si>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</si>
  <si>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</si>
  <si>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</si>
  <si>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</si>
  <si>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</si>
  <si>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</si>
  <si>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</si>
  <si>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</si>
  <si>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</si>
  <si>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</si>
  <si>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</si>
  <si>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</si>
  <si>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</si>
  <si>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</si>
  <si>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</si>
  <si>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</si>
  <si>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</si>
  <si>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</si>
  <si>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</si>
  <si>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</si>
  <si>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</si>
  <si>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</si>
  <si>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</si>
  <si>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</si>
  <si>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</si>
  <si>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</si>
  <si>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</si>
  <si>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</si>
  <si>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</si>
  <si>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</si>
  <si>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</si>
  <si>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</si>
  <si>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</si>
  <si>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</si>
  <si>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</si>
  <si>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</si>
  <si>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</si>
  <si>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</si>
  <si>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</si>
  <si>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</si>
  <si>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</si>
  <si>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</si>
  <si>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</si>
  <si>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</si>
  <si>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</si>
  <si>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</si>
  <si>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</si>
  <si>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</si>
  <si>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</si>
  <si>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</si>
  <si>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</si>
  <si>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</si>
  <si>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</si>
  <si>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</si>
  <si>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</si>
  <si>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</si>
  <si>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</si>
  <si>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</si>
  <si>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</si>
  <si>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</si>
  <si>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</si>
  <si>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</si>
  <si>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</si>
  <si>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</si>
  <si>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</si>
  <si>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</si>
  <si>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</si>
  <si>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</si>
  <si>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</si>
  <si>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</si>
  <si>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</si>
  <si>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</si>
  <si>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</si>
  <si>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</si>
  <si>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</si>
  <si>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</si>
  <si>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</si>
  <si>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</si>
  <si>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</si>
  <si>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</si>
  <si>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</si>
  <si>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</si>
  <si>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</si>
  <si>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</si>
  <si>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</si>
  <si>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</si>
  <si>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</si>
  <si>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</si>
  <si>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</si>
  <si>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</si>
  <si>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</si>
  <si>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</si>
  <si>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</si>
  <si>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</si>
  <si>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</si>
  <si>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</si>
  <si>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</si>
  <si>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</si>
  <si>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</si>
  <si>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</si>
  <si>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</si>
  <si>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</si>
  <si>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</si>
  <si>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</si>
  <si>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</si>
  <si>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</si>
  <si>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</si>
  <si>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</si>
  <si>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</si>
  <si>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</si>
  <si>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</si>
  <si>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</si>
  <si>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</si>
  <si>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</si>
  <si>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</si>
  <si>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</si>
  <si>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</si>
  <si>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</si>
  <si>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</si>
  <si>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</si>
  <si>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</si>
  <si>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</si>
  <si>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</si>
  <si>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</si>
  <si>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</si>
  <si>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</si>
  <si>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</si>
  <si>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</si>
  <si>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</si>
  <si>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</si>
  <si>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</si>
  <si>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</si>
  <si>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</si>
  <si>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</si>
  <si>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</si>
  <si>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</si>
  <si>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</si>
  <si>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</si>
  <si>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</si>
  <si>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</si>
  <si>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</si>
  <si>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</si>
  <si>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</si>
  <si>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</si>
  <si>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</si>
  <si>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</si>
  <si>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</si>
  <si>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</si>
  <si>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</si>
  <si>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</si>
  <si>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</si>
  <si>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</si>
  <si>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</si>
  <si>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</si>
  <si>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</si>
  <si>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</si>
  <si>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</si>
  <si>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</si>
  <si>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</si>
  <si>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</si>
  <si>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</si>
  <si>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</si>
  <si>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</si>
  <si>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</si>
  <si>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</si>
  <si>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</si>
  <si>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</si>
  <si>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</si>
  <si>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</si>
  <si>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</si>
  <si>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</si>
  <si>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</si>
  <si>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</si>
  <si>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</si>
  <si>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</si>
  <si>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</si>
  <si>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</si>
  <si>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</si>
  <si>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</si>
  <si>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</si>
  <si>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</si>
  <si>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</si>
  <si>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</si>
  <si>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</si>
  <si>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</si>
  <si>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</si>
  <si>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</si>
  <si>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</si>
  <si>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</si>
  <si>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</si>
  <si>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</si>
  <si>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</si>
  <si>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</si>
  <si>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</si>
  <si>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</si>
  <si>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</si>
  <si>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</si>
  <si>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</si>
  <si>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</si>
  <si>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</si>
  <si>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</si>
  <si>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</si>
  <si>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</si>
  <si>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</si>
  <si>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</si>
  <si>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</si>
  <si>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</si>
  <si>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</si>
  <si>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</si>
  <si>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</si>
  <si>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</si>
  <si>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</si>
  <si>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</si>
  <si>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</si>
  <si>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</si>
  <si>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</si>
  <si>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</si>
  <si>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</si>
  <si>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</si>
  <si>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</si>
  <si>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</si>
  <si>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</si>
  <si>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</si>
  <si>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</si>
  <si>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</si>
  <si>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</si>
  <si>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</si>
  <si>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</si>
  <si>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</si>
  <si>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</si>
  <si>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</si>
  <si>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</si>
  <si>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</si>
  <si>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</si>
  <si>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</si>
  <si>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</si>
  <si>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</si>
  <si>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</si>
  <si>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</si>
  <si>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</si>
  <si>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</si>
  <si>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</si>
  <si>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</si>
  <si>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</si>
  <si>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</si>
  <si>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</si>
  <si>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</si>
  <si>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</si>
  <si>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</si>
  <si>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</si>
  <si>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</si>
  <si>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</si>
  <si>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</si>
  <si>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</si>
  <si>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</si>
  <si>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</si>
  <si>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</si>
  <si>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</si>
  <si>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</si>
  <si>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</si>
  <si>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</si>
  <si>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</si>
  <si>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</si>
  <si>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</si>
  <si>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</si>
  <si>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</si>
  <si>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</si>
  <si>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</si>
  <si>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</si>
  <si>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</si>
  <si>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</si>
  <si>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</si>
  <si>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</si>
  <si>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</si>
  <si>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</si>
  <si>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</si>
  <si>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</si>
  <si>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</si>
  <si>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</si>
  <si>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</si>
  <si>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</si>
  <si>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</si>
  <si>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</si>
  <si>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</si>
  <si>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</si>
  <si>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</si>
  <si>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</si>
  <si>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</si>
  <si>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</si>
  <si>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</si>
  <si>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</si>
  <si>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</si>
  <si>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</si>
  <si>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</si>
  <si>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</si>
  <si>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</si>
  <si>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</si>
  <si>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</si>
  <si>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</si>
  <si>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</si>
  <si>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</si>
  <si>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</si>
  <si>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</si>
  <si>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</si>
  <si>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</si>
  <si>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</si>
  <si>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</si>
  <si>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</si>
  <si>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</si>
  <si>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</si>
  <si>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</si>
  <si>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</si>
  <si>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</si>
  <si>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</si>
  <si>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</si>
  <si>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</si>
  <si>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</si>
  <si>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</si>
  <si>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</si>
  <si>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</si>
  <si>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</si>
  <si>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</si>
  <si>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</si>
  <si>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</si>
  <si>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</si>
  <si>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</si>
  <si>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</si>
  <si>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</si>
  <si>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</si>
  <si>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</si>
  <si>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</si>
  <si>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</si>
  <si>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</si>
  <si>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</si>
  <si>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</si>
  <si>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</si>
  <si>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</si>
  <si>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</si>
  <si>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</si>
  <si>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</si>
  <si>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</si>
  <si>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</si>
  <si>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</si>
  <si>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</si>
  <si>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</si>
  <si>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</si>
  <si>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</si>
  <si>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</si>
  <si>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</si>
  <si>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</si>
  <si>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</si>
  <si>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</si>
  <si>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</si>
  <si>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</si>
  <si>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</si>
  <si>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</si>
  <si>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</si>
  <si>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</si>
  <si>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</si>
  <si>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</si>
  <si>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</si>
  <si>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</si>
  <si>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</si>
  <si>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</si>
  <si>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</si>
  <si>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</si>
  <si>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</si>
  <si>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</si>
  <si>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</si>
  <si>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</si>
  <si>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</si>
  <si>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</si>
  <si>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</si>
  <si>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</si>
  <si>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Hubert Samul</t>
  </si>
  <si>
    <t>48 22 578 44 17</t>
  </si>
  <si>
    <t>h.samul@wup.mazowsze.pl</t>
  </si>
  <si>
    <t>nie</t>
  </si>
  <si>
    <t>011225176</t>
  </si>
  <si>
    <t>7311Z</t>
  </si>
  <si>
    <t>4771Z</t>
  </si>
  <si>
    <t xml:space="preserve">  010778878</t>
  </si>
  <si>
    <t>140718341</t>
  </si>
  <si>
    <t>6120Z</t>
  </si>
  <si>
    <t>Stora Enso Poland S.A.</t>
  </si>
  <si>
    <t>17.12.Z</t>
  </si>
  <si>
    <t>tak</t>
  </si>
  <si>
    <t>000043937</t>
  </si>
  <si>
    <t>2120Z</t>
  </si>
  <si>
    <t>4791Z</t>
  </si>
  <si>
    <t>VEGA MARZENA CZERNEK</t>
  </si>
  <si>
    <t>29-04-2024 
do 31.08.2024</t>
  </si>
  <si>
    <t>TAK</t>
  </si>
  <si>
    <t>Zwalniani pracownicy wyrazili wolę zatrudnienia u innego pracodawcy oraz
zatrudnienie przy innej diałalności u danego pracodawcy</t>
  </si>
  <si>
    <t>Levi Strauss Poland Sp. z o.o.</t>
  </si>
  <si>
    <t>1413Z</t>
  </si>
  <si>
    <t>26.04.2024 r.</t>
  </si>
  <si>
    <t>22.21       18.20</t>
  </si>
  <si>
    <t>26.04.2024 - 30.09.2024</t>
  </si>
  <si>
    <t>NIE</t>
  </si>
  <si>
    <t xml:space="preserve">DURA-LINE Sp. z o.o., ul. Ernesta Kościńskiego  23, 96-502 Sochaczew </t>
  </si>
  <si>
    <t>22.21</t>
  </si>
  <si>
    <t>kwiecień-lipiec</t>
  </si>
  <si>
    <t>520851132</t>
  </si>
  <si>
    <t>7220Z</t>
  </si>
  <si>
    <t xml:space="preserve">tak </t>
  </si>
  <si>
    <t>5811Z</t>
  </si>
  <si>
    <t>010333455</t>
  </si>
  <si>
    <t>9200Z</t>
  </si>
  <si>
    <t>6820Z</t>
  </si>
  <si>
    <t>520263257</t>
  </si>
  <si>
    <t>6312Z</t>
  </si>
  <si>
    <t>Barbora Polska Sp. z o.o.</t>
  </si>
  <si>
    <t xml:space="preserve">29.04.2024 r. </t>
  </si>
  <si>
    <t>Centrum GovTech</t>
  </si>
  <si>
    <t>26.04.2024 - 31.08.2024</t>
  </si>
  <si>
    <t>Pfizer Polska Sp. z o.o, ul. Żwirki i Figury 16B, 02-092 Warszawa</t>
  </si>
  <si>
    <t>bwin Poland S.A., ul. Taneczna 18 B, 02-829 Warszawa</t>
  </si>
  <si>
    <t>METRO PROPERTIES Sp. z o.o, Al. Krakowska 61, 02-183 Warszawa</t>
  </si>
  <si>
    <t>Warszawskie Zakłady Farmaceutyczne Polfa Spółka Akcyjna, ul. Karolkowa 22/24, 01-207 Warszawa</t>
  </si>
  <si>
    <t>Nokia Solutions and Networks Sp. z o.o., ul. Rodziny Hiszpańskich 8, 02-685 Warszawa</t>
  </si>
  <si>
    <t xml:space="preserve">BNP Paribas Bank Polska S.A., ul. M. Kasprzaka  10/16, 01-211 Warszawa </t>
  </si>
  <si>
    <t xml:space="preserve">Instytut De Republica w likwidacji, Al. Jana Pawła II 29, 00-867 Warszawa </t>
  </si>
  <si>
    <t xml:space="preserve">Instytut Pokolenia w likwidacji, Al. Jana Pawła II 29, 00-867 Warszawa 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</si>
  <si>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</si>
  <si>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</si>
  <si>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</si>
  <si>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t>TECHNICOLOR POLSKA SP. Z O.O., uL. JULIANOWSKA 65A, JÓZEFOSŁAW, 05-500 PIASECZNO</t>
  </si>
  <si>
    <t>Go Student, ul. Bitwy Warszawskiej 1920 r. 7,  02-366 Warszawa</t>
  </si>
  <si>
    <t>Zwolnienia będą przeprowadzone w okresie 30 dni począwszy od dokonania przez Pracodawcę drugiego zawiadomienia do Urzędu Pracy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</si>
</sst>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15]General"/>
    <numFmt numFmtId="165" formatCode="[$-415]yyyy\-mm\-dd"/>
    <numFmt numFmtId="166" formatCode="#,##0.00&quot; &quot;[$zł-415];[Red]&quot;-&quot;#,##0.00&quot; &quot;[$zł-415]"/>
  </numFmts>
  <fonts count="21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u/>
      <sz val="10"/>
      <color theme="1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1"/>
      <color rgb="FF000000"/>
      <name val="Arial"/>
      <family val="2"/>
      <charset val="238"/>
    </font>
    <font>
      <b/>
      <i/>
      <sz val="16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i/>
      <u/>
      <sz val="11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rgb="FFFF5050"/>
        <bgColor rgb="FFFF505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2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7" fillId="0" borderId="0"/>
    <xf numFmtId="0" fontId="17" fillId="5" borderId="0" applyNumberFormat="0" applyFont="0" applyBorder="0" applyAlignment="0" applyProtection="0"/>
    <xf numFmtId="0" fontId="17" fillId="5" borderId="0" applyNumberFormat="0" applyFont="0" applyBorder="0" applyProtection="0"/>
    <xf numFmtId="0" fontId="18" fillId="0" borderId="0" applyNumberFormat="0" applyBorder="0" applyProtection="0">
      <alignment horizontal="center"/>
    </xf>
    <xf numFmtId="0" fontId="18" fillId="0" borderId="0" applyNumberFormat="0" applyBorder="0" applyProtection="0">
      <alignment horizontal="center" textRotation="90"/>
    </xf>
    <xf numFmtId="164" fontId="19" fillId="0" borderId="0" applyBorder="0" applyProtection="0"/>
    <xf numFmtId="0" fontId="20" fillId="0" borderId="0" applyNumberFormat="0" applyBorder="0" applyProtection="0"/>
    <xf numFmtId="166" fontId="20" fillId="0" borderId="0" applyBorder="0" applyProtection="0"/>
    <xf numFmtId="43" fontId="16" fillId="0" borderId="0" applyFont="0" applyFill="0" applyBorder="0" applyAlignment="0" applyProtection="0"/>
  </cellStyleXfs>
  <cellXfs count="99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2" fillId="0" borderId="0" xfId="0" applyFont="1" applyBorder="1" applyAlignment="1">
      <alignment horizontal="left" vertical="center" wrapText="1"/>
    </xf>
    <xf numFmtId="12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14" fontId="2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wrapText="1"/>
    </xf>
    <xf numFmtId="14" fontId="2" fillId="0" borderId="2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164" fontId="2" fillId="0" borderId="16" xfId="4" applyFont="1" applyFill="1" applyBorder="1" applyAlignment="1">
      <alignment horizontal="left" wrapText="1"/>
    </xf>
    <xf numFmtId="0" fontId="2" fillId="0" borderId="0" xfId="0" applyFont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4" fontId="2" fillId="0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4" fontId="2" fillId="0" borderId="0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/>
    </xf>
    <xf numFmtId="0" fontId="2" fillId="0" borderId="2" xfId="0" applyFont="1" applyFill="1" applyBorder="1" applyAlignment="1">
      <alignment horizontal="right" vertical="center"/>
    </xf>
    <xf numFmtId="1" fontId="2" fillId="0" borderId="2" xfId="0" applyNumberFormat="1" applyFont="1" applyBorder="1" applyAlignment="1">
      <alignment horizontal="right"/>
    </xf>
    <xf numFmtId="0" fontId="2" fillId="0" borderId="2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12" fontId="2" fillId="0" borderId="2" xfId="18" applyNumberFormat="1" applyFont="1" applyBorder="1" applyAlignment="1">
      <alignment horizontal="right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1" fontId="2" fillId="0" borderId="0" xfId="0" applyNumberFormat="1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 applyProtection="1">
      <alignment horizontal="left" vertical="center" wrapText="1"/>
      <protection locked="0"/>
    </xf>
    <xf numFmtId="1" fontId="1" fillId="3" borderId="1" xfId="0" applyNumberFormat="1" applyFont="1" applyFill="1" applyBorder="1" applyAlignment="1">
      <alignment horizontal="left" vertical="center" wrapText="1"/>
    </xf>
    <xf numFmtId="1" fontId="2" fillId="0" borderId="0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164" fontId="2" fillId="0" borderId="16" xfId="4" applyFont="1" applyFill="1" applyBorder="1" applyAlignment="1">
      <alignment horizontal="left"/>
    </xf>
    <xf numFmtId="164" fontId="2" fillId="0" borderId="15" xfId="4" applyFont="1" applyFill="1" applyBorder="1" applyAlignment="1">
      <alignment horizontal="right"/>
    </xf>
    <xf numFmtId="164" fontId="2" fillId="0" borderId="15" xfId="4" applyFont="1" applyFill="1" applyBorder="1" applyAlignment="1">
      <alignment horizontal="left" wrapText="1"/>
    </xf>
    <xf numFmtId="164" fontId="2" fillId="0" borderId="15" xfId="4" applyFont="1" applyFill="1" applyBorder="1" applyAlignment="1">
      <alignment horizontal="left"/>
    </xf>
    <xf numFmtId="165" fontId="2" fillId="0" borderId="16" xfId="4" applyNumberFormat="1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wrapText="1"/>
    </xf>
    <xf numFmtId="14" fontId="2" fillId="0" borderId="2" xfId="0" applyNumberFormat="1" applyFont="1" applyFill="1" applyBorder="1" applyAlignment="1">
      <alignment horizontal="left" vertical="center" wrapText="1"/>
    </xf>
    <xf numFmtId="164" fontId="2" fillId="0" borderId="0" xfId="0" applyNumberFormat="1" applyFont="1" applyBorder="1" applyAlignment="1">
      <alignment horizontal="right" vertical="center" wrapText="1"/>
    </xf>
    <xf numFmtId="0" fontId="2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2" fillId="0" borderId="2" xfId="1" applyBorder="1" applyAlignment="1">
      <alignment horizontal="center" vertical="center" wrapText="1"/>
    </xf>
    <xf numFmtId="14" fontId="2" fillId="0" borderId="1" xfId="1" applyNumberForma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</cellXfs>
  <cellStyles count="19">
    <cellStyle name="cf1" xfId="11" xr:uid="{AA7A6DA0-0093-426D-A699-1195BFB3BF9B}"/>
    <cellStyle name="ConditionalStyle_1" xfId="12" xr:uid="{A3273840-DC2D-47EA-875E-4B2DE94B84D9}"/>
    <cellStyle name="Dziesiętny 2" xfId="6" xr:uid="{95F2F834-C8AF-4CFA-9632-7EC5FFBFCA5F}"/>
    <cellStyle name="Dziesiętny 3" xfId="7" xr:uid="{7D479643-D454-49EC-94B9-070247605B79}"/>
    <cellStyle name="Dziesiętny 4" xfId="18" xr:uid="{38B67BDC-1342-443F-8CF5-E69BBC6D277E}"/>
    <cellStyle name="Excel Built-in Normal" xfId="4" xr:uid="{00000000-0005-0000-0000-000000000000}"/>
    <cellStyle name="Heading" xfId="13" xr:uid="{8FD49449-249C-40A2-B5BC-0348E9D196D2}"/>
    <cellStyle name="Heading1" xfId="14" xr:uid="{B1D612FF-9772-4248-8E9B-98C931D4B95C}"/>
    <cellStyle name="Hiperłącze" xfId="2" builtinId="8"/>
    <cellStyle name="Hiperłącze 2" xfId="3" xr:uid="{00000000-0005-0000-0000-000002000000}"/>
    <cellStyle name="Hiperłącze 3" xfId="5" xr:uid="{4C6CD572-F96E-416C-95D9-16F1550FE079}"/>
    <cellStyle name="Hiperłącze 4" xfId="8" xr:uid="{DBAC3570-FE12-48AA-9D1D-57A002FB5016}"/>
    <cellStyle name="Normalny" xfId="0" builtinId="0"/>
    <cellStyle name="Normalny 2" xfId="1" xr:uid="{00000000-0005-0000-0000-000004000000}"/>
    <cellStyle name="Normalny 2 2" xfId="15" xr:uid="{B98047FA-D127-4765-903D-EA40A4F2E65C}"/>
    <cellStyle name="Normalny 3" xfId="9" xr:uid="{8A5988CB-BBF9-435C-BF6D-3EAB49A0F372}"/>
    <cellStyle name="Normalny 4" xfId="10" xr:uid="{1F413BD6-3A7A-46D6-ABF3-AE48C92DCFA6}"/>
    <cellStyle name="Result" xfId="16" xr:uid="{36AE28E8-3783-477E-ACBE-BAE00EAAA640}"/>
    <cellStyle name="Result2" xfId="17" xr:uid="{49A07EA4-EF9F-405F-A4E6-FEC2700AA314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163196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C8" sqref="C8"/>
    </sheetView>
  </sheetViews>
  <sheetFormatPr defaultRowHeight="12.5"/>
  <cols>
    <col min="2" max="2" width="6.81640625" customWidth="1"/>
    <col min="3" max="3" width="34.81640625" customWidth="1"/>
    <col min="4" max="4" width="45.81640625" customWidth="1"/>
    <col min="5" max="5" width="37.453125" customWidth="1"/>
    <col min="6" max="6" width="30.54296875" customWidth="1"/>
    <col min="7" max="7" width="28.54296875" customWidth="1"/>
  </cols>
  <sheetData>
    <row r="2" spans="3:7" ht="15.5">
      <c r="C2" s="11" t="s">
        <v>436</v>
      </c>
    </row>
    <row r="4" spans="3:7" ht="15.5">
      <c r="C4" s="11" t="s">
        <v>263</v>
      </c>
    </row>
    <row r="5" spans="3:7" ht="13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284</v>
      </c>
      <c r="E7" s="10"/>
    </row>
    <row r="8" spans="3:7" ht="38.25" customHeight="1" thickBot="1">
      <c r="C8" s="12" t="s">
        <v>293</v>
      </c>
      <c r="D8" s="16">
        <v>2024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449</v>
      </c>
      <c r="E13" s="27" t="s">
        <v>451</v>
      </c>
      <c r="F13" s="28" t="s">
        <v>450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 ht="13">
      <c r="C20" s="21" t="s">
        <v>279</v>
      </c>
    </row>
    <row r="22" spans="3:6">
      <c r="C22" s="92" t="s">
        <v>438</v>
      </c>
      <c r="D22" s="19"/>
    </row>
    <row r="23" spans="3:6" ht="26">
      <c r="C23" s="92"/>
      <c r="D23" s="20" t="s">
        <v>280</v>
      </c>
    </row>
    <row r="24" spans="3:6" ht="28.5" customHeight="1">
      <c r="C24" s="92"/>
    </row>
    <row r="25" spans="3:6">
      <c r="C25" s="22"/>
    </row>
    <row r="26" spans="3:6">
      <c r="C26" s="92" t="s">
        <v>439</v>
      </c>
    </row>
    <row r="27" spans="3:6">
      <c r="C27" s="92"/>
    </row>
    <row r="28" spans="3:6" ht="23.25" customHeight="1">
      <c r="C28" s="92"/>
    </row>
    <row r="29" spans="3:6">
      <c r="C29" s="22"/>
    </row>
    <row r="30" spans="3:6" ht="12.75" customHeight="1">
      <c r="C30" s="92" t="s">
        <v>440</v>
      </c>
    </row>
    <row r="31" spans="3:6" ht="12.75" customHeight="1">
      <c r="C31" s="92"/>
    </row>
    <row r="32" spans="3:6" ht="21.75" customHeight="1">
      <c r="C32" s="92"/>
    </row>
    <row r="33" spans="3:3" ht="14.25" customHeight="1">
      <c r="C33" s="92"/>
    </row>
    <row r="34" spans="3:3">
      <c r="C34" s="92"/>
    </row>
    <row r="35" spans="3:3">
      <c r="C35" s="92"/>
    </row>
    <row r="37" spans="3:3" ht="12.75" customHeight="1">
      <c r="C37" s="92" t="s">
        <v>448</v>
      </c>
    </row>
    <row r="38" spans="3:3" ht="12.75" customHeight="1">
      <c r="C38" s="92"/>
    </row>
    <row r="39" spans="3:3" ht="19.5" customHeight="1">
      <c r="C39" s="92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99"/>
  <sheetViews>
    <sheetView tabSelected="1" zoomScale="80" zoomScaleNormal="80" zoomScaleSheetLayoutView="100" workbookViewId="0">
      <selection activeCell="P8" sqref="P8"/>
    </sheetView>
  </sheetViews>
  <sheetFormatPr defaultColWidth="9.1796875" defaultRowHeight="90.75" customHeight="1"/>
  <cols>
    <col min="1" max="1" width="1.81640625" style="46" customWidth="1"/>
    <col min="2" max="3" width="21.54296875" style="65" customWidth="1"/>
    <col min="4" max="4" width="40" style="65" customWidth="1"/>
    <col min="5" max="5" width="25.54296875" style="67" customWidth="1"/>
    <col min="6" max="6" width="13.1796875" style="65" customWidth="1"/>
    <col min="7" max="7" width="14.453125" style="65" customWidth="1"/>
    <col min="8" max="8" width="22.7265625" style="65" customWidth="1"/>
    <col min="9" max="9" width="17.26953125" style="65" customWidth="1"/>
    <col min="10" max="10" width="14.453125" style="65" customWidth="1"/>
    <col min="11" max="11" width="26.7265625" style="65" customWidth="1"/>
    <col min="12" max="12" width="16.81640625" style="65" customWidth="1"/>
    <col min="13" max="13" width="24.81640625" style="65" customWidth="1"/>
    <col min="14" max="14" width="17.7265625" style="65" customWidth="1"/>
    <col min="15" max="15" width="23.7265625" style="65" customWidth="1"/>
    <col min="16" max="16" width="34.81640625" style="46" customWidth="1"/>
    <col min="17" max="16384" width="9.1796875" style="46"/>
  </cols>
  <sheetData>
    <row r="1" spans="2:15" ht="20.149999999999999" customHeight="1">
      <c r="D1" s="66"/>
      <c r="F1" s="29"/>
    </row>
    <row r="2" spans="2:15" ht="20.149999999999999" customHeight="1">
      <c r="B2" s="68" t="s">
        <v>2</v>
      </c>
      <c r="C2" s="69" t="str">
        <f>'Dane podstawowe'!$D$6</f>
        <v>MAZOWIECKIE</v>
      </c>
      <c r="D2" s="70" t="str">
        <f>'Dane podstawowe'!D7</f>
        <v xml:space="preserve">Kwiecień </v>
      </c>
      <c r="E2" s="71">
        <f>'Dane podstawowe'!D8</f>
        <v>2024</v>
      </c>
      <c r="F2" s="66"/>
      <c r="G2" s="66"/>
      <c r="H2" s="66"/>
      <c r="I2" s="66"/>
    </row>
    <row r="3" spans="2:15" ht="20.149999999999999" customHeight="1">
      <c r="E3" s="72"/>
    </row>
    <row r="4" spans="2:15" ht="20.149999999999999" customHeight="1">
      <c r="B4" s="93" t="s">
        <v>430</v>
      </c>
      <c r="C4" s="93"/>
      <c r="D4" s="94"/>
      <c r="E4" s="72"/>
    </row>
    <row r="5" spans="2:15" ht="20.149999999999999" customHeight="1">
      <c r="B5" s="73"/>
      <c r="C5" s="73"/>
      <c r="D5" s="74"/>
      <c r="E5" s="72"/>
    </row>
    <row r="6" spans="2:15" ht="90.75" customHeight="1">
      <c r="B6" s="95" t="s">
        <v>444</v>
      </c>
      <c r="C6" s="95"/>
      <c r="D6" s="95"/>
      <c r="E6" s="95"/>
      <c r="F6" s="95"/>
      <c r="G6" s="96" t="s">
        <v>446</v>
      </c>
      <c r="H6" s="97"/>
      <c r="I6" s="97"/>
      <c r="J6" s="98"/>
      <c r="K6" s="68" t="s">
        <v>447</v>
      </c>
      <c r="L6" s="95" t="s">
        <v>445</v>
      </c>
      <c r="M6" s="95"/>
      <c r="N6" s="95"/>
      <c r="O6" s="75"/>
    </row>
    <row r="7" spans="2:15" ht="90.75" customHeight="1">
      <c r="B7" s="75" t="s">
        <v>1</v>
      </c>
      <c r="C7" s="75" t="s">
        <v>428</v>
      </c>
      <c r="D7" s="75" t="s">
        <v>0</v>
      </c>
      <c r="E7" s="76" t="s">
        <v>499</v>
      </c>
      <c r="F7" s="75" t="s">
        <v>500</v>
      </c>
      <c r="G7" s="75" t="s">
        <v>432</v>
      </c>
      <c r="H7" s="75" t="s">
        <v>435</v>
      </c>
      <c r="I7" s="75" t="s">
        <v>433</v>
      </c>
      <c r="J7" s="75" t="s">
        <v>434</v>
      </c>
      <c r="K7" s="75" t="s">
        <v>431</v>
      </c>
      <c r="L7" s="75" t="s">
        <v>442</v>
      </c>
      <c r="M7" s="75" t="s">
        <v>441</v>
      </c>
      <c r="N7" s="75" t="s">
        <v>443</v>
      </c>
      <c r="O7" s="75" t="s">
        <v>501</v>
      </c>
    </row>
    <row r="8" spans="2:15" s="65" customFormat="1" ht="84" customHeight="1">
      <c r="B8" s="77" t="s">
        <v>51</v>
      </c>
      <c r="C8" s="77" t="s">
        <v>269</v>
      </c>
      <c r="D8" s="43" t="s">
        <v>465</v>
      </c>
      <c r="E8" s="77">
        <v>672945125</v>
      </c>
      <c r="F8" s="77">
        <v>1729</v>
      </c>
      <c r="G8" s="78">
        <v>93</v>
      </c>
      <c r="H8" s="79" t="s">
        <v>466</v>
      </c>
      <c r="I8" s="78">
        <v>0</v>
      </c>
      <c r="J8" s="80" t="s">
        <v>467</v>
      </c>
      <c r="K8" s="78">
        <v>1</v>
      </c>
      <c r="L8" s="78">
        <v>1</v>
      </c>
      <c r="M8" s="79" t="s">
        <v>468</v>
      </c>
      <c r="N8" s="79" t="s">
        <v>466</v>
      </c>
      <c r="O8" s="81">
        <v>45411</v>
      </c>
    </row>
    <row r="9" spans="2:15" ht="114.75" customHeight="1">
      <c r="B9" s="86" t="s">
        <v>88</v>
      </c>
      <c r="C9" s="86" t="s">
        <v>269</v>
      </c>
      <c r="D9" s="87" t="s">
        <v>469</v>
      </c>
      <c r="E9" s="88">
        <v>610001881</v>
      </c>
      <c r="F9" s="86" t="s">
        <v>470</v>
      </c>
      <c r="G9" s="89">
        <v>650</v>
      </c>
      <c r="H9" s="90" t="s">
        <v>504</v>
      </c>
      <c r="I9" s="89">
        <v>0</v>
      </c>
      <c r="J9" s="89" t="s">
        <v>461</v>
      </c>
      <c r="K9" s="89">
        <v>0</v>
      </c>
      <c r="L9" s="89">
        <v>0</v>
      </c>
      <c r="M9" s="89"/>
      <c r="N9" s="89"/>
      <c r="O9" s="91">
        <v>45387</v>
      </c>
    </row>
    <row r="10" spans="2:15" ht="21" customHeight="1">
      <c r="B10" s="31" t="s">
        <v>87</v>
      </c>
      <c r="C10" s="31" t="s">
        <v>269</v>
      </c>
      <c r="D10" s="31" t="s">
        <v>459</v>
      </c>
      <c r="E10" s="44">
        <v>550412627</v>
      </c>
      <c r="F10" s="31" t="s">
        <v>460</v>
      </c>
      <c r="G10" s="56">
        <v>0</v>
      </c>
      <c r="H10" s="39"/>
      <c r="I10" s="56">
        <v>0</v>
      </c>
      <c r="J10" s="39"/>
      <c r="K10" s="56">
        <v>1</v>
      </c>
      <c r="L10" s="56">
        <v>0</v>
      </c>
      <c r="M10" s="39">
        <v>0</v>
      </c>
      <c r="N10" s="39">
        <v>0</v>
      </c>
      <c r="O10" s="45" t="s">
        <v>471</v>
      </c>
    </row>
    <row r="11" spans="2:15" ht="48" customHeight="1">
      <c r="B11" s="32" t="s">
        <v>68</v>
      </c>
      <c r="C11" s="32" t="s">
        <v>269</v>
      </c>
      <c r="D11" s="33" t="s">
        <v>502</v>
      </c>
      <c r="E11" s="82">
        <v>10517669</v>
      </c>
      <c r="F11" s="33" t="s">
        <v>472</v>
      </c>
      <c r="G11" s="57">
        <v>94</v>
      </c>
      <c r="H11" s="34" t="s">
        <v>473</v>
      </c>
      <c r="I11" s="57"/>
      <c r="J11" s="35" t="s">
        <v>474</v>
      </c>
      <c r="K11" s="57"/>
      <c r="L11" s="63"/>
      <c r="M11" s="32"/>
      <c r="N11" s="34"/>
      <c r="O11" s="36">
        <v>45387</v>
      </c>
    </row>
    <row r="12" spans="2:15" ht="39" customHeight="1">
      <c r="B12" s="31" t="s">
        <v>78</v>
      </c>
      <c r="C12" s="31" t="s">
        <v>269</v>
      </c>
      <c r="D12" s="37" t="s">
        <v>475</v>
      </c>
      <c r="E12" s="30">
        <v>38765258200000</v>
      </c>
      <c r="F12" s="30" t="s">
        <v>476</v>
      </c>
      <c r="G12" s="61">
        <v>29</v>
      </c>
      <c r="H12" s="38" t="s">
        <v>477</v>
      </c>
      <c r="I12" s="58">
        <v>0</v>
      </c>
      <c r="J12" s="39" t="s">
        <v>452</v>
      </c>
      <c r="K12" s="56"/>
      <c r="L12" s="56"/>
      <c r="M12" s="39"/>
      <c r="N12" s="39"/>
      <c r="O12" s="45"/>
    </row>
    <row r="13" spans="2:15" ht="48" customHeight="1">
      <c r="B13" s="47" t="s">
        <v>91</v>
      </c>
      <c r="C13" s="32" t="s">
        <v>269</v>
      </c>
      <c r="D13" s="33" t="s">
        <v>498</v>
      </c>
      <c r="E13" s="48" t="s">
        <v>478</v>
      </c>
      <c r="F13" s="32" t="s">
        <v>479</v>
      </c>
      <c r="G13" s="57">
        <v>26</v>
      </c>
      <c r="H13" s="84">
        <v>45447</v>
      </c>
      <c r="I13" s="57">
        <v>0</v>
      </c>
      <c r="J13" s="35" t="s">
        <v>480</v>
      </c>
      <c r="K13" s="57"/>
      <c r="L13" s="57"/>
      <c r="M13" s="49"/>
      <c r="N13" s="49"/>
      <c r="O13" s="50">
        <v>45394</v>
      </c>
    </row>
    <row r="14" spans="2:15" ht="48" customHeight="1">
      <c r="B14" s="47" t="s">
        <v>91</v>
      </c>
      <c r="C14" s="47" t="s">
        <v>269</v>
      </c>
      <c r="D14" s="33" t="s">
        <v>497</v>
      </c>
      <c r="E14" s="33">
        <v>388748947</v>
      </c>
      <c r="F14" s="33" t="s">
        <v>481</v>
      </c>
      <c r="G14" s="62">
        <v>29</v>
      </c>
      <c r="H14" s="84">
        <v>45447</v>
      </c>
      <c r="I14" s="59">
        <v>0</v>
      </c>
      <c r="J14" s="49" t="s">
        <v>480</v>
      </c>
      <c r="K14" s="59"/>
      <c r="L14" s="59"/>
      <c r="M14" s="49"/>
      <c r="N14" s="49"/>
      <c r="O14" s="50">
        <v>45394</v>
      </c>
    </row>
    <row r="15" spans="2:15" ht="48" customHeight="1">
      <c r="B15" s="47" t="s">
        <v>91</v>
      </c>
      <c r="C15" s="47" t="s">
        <v>269</v>
      </c>
      <c r="D15" s="51" t="s">
        <v>496</v>
      </c>
      <c r="E15" s="51" t="s">
        <v>456</v>
      </c>
      <c r="F15" s="51" t="s">
        <v>455</v>
      </c>
      <c r="G15" s="60">
        <v>0</v>
      </c>
      <c r="H15" s="52">
        <v>0</v>
      </c>
      <c r="I15" s="60">
        <v>0</v>
      </c>
      <c r="J15" s="52">
        <v>0</v>
      </c>
      <c r="K15" s="60">
        <v>12</v>
      </c>
      <c r="L15" s="60">
        <v>0</v>
      </c>
      <c r="M15" s="52">
        <v>0</v>
      </c>
      <c r="N15" s="52">
        <v>0</v>
      </c>
      <c r="O15" s="53">
        <v>45418</v>
      </c>
    </row>
    <row r="16" spans="2:15" ht="58.5" customHeight="1">
      <c r="B16" s="47" t="s">
        <v>91</v>
      </c>
      <c r="C16" s="47" t="s">
        <v>269</v>
      </c>
      <c r="D16" s="51" t="s">
        <v>495</v>
      </c>
      <c r="E16" s="51" t="s">
        <v>457</v>
      </c>
      <c r="F16" s="51" t="s">
        <v>458</v>
      </c>
      <c r="G16" s="60">
        <v>0</v>
      </c>
      <c r="H16" s="52">
        <v>0</v>
      </c>
      <c r="I16" s="60">
        <v>0</v>
      </c>
      <c r="J16" s="52">
        <v>0</v>
      </c>
      <c r="K16" s="60">
        <v>78</v>
      </c>
      <c r="L16" s="60">
        <v>0</v>
      </c>
      <c r="M16" s="52">
        <v>0</v>
      </c>
      <c r="N16" s="52">
        <v>0</v>
      </c>
      <c r="O16" s="53">
        <v>45418</v>
      </c>
    </row>
    <row r="17" spans="2:16" ht="48" customHeight="1">
      <c r="B17" s="47" t="s">
        <v>91</v>
      </c>
      <c r="C17" s="47" t="s">
        <v>269</v>
      </c>
      <c r="D17" s="52" t="s">
        <v>492</v>
      </c>
      <c r="E17" s="52" t="s">
        <v>482</v>
      </c>
      <c r="F17" s="52" t="s">
        <v>483</v>
      </c>
      <c r="G17" s="60">
        <v>0</v>
      </c>
      <c r="H17" s="52">
        <v>0</v>
      </c>
      <c r="I17" s="60">
        <v>0</v>
      </c>
      <c r="J17" s="52">
        <v>0</v>
      </c>
      <c r="K17" s="60">
        <v>19</v>
      </c>
      <c r="L17" s="60">
        <v>0</v>
      </c>
      <c r="M17" s="52">
        <v>0</v>
      </c>
      <c r="N17" s="52">
        <v>0</v>
      </c>
      <c r="O17" s="53">
        <v>45408</v>
      </c>
    </row>
    <row r="18" spans="2:16" ht="60.75" customHeight="1">
      <c r="B18" s="47" t="s">
        <v>91</v>
      </c>
      <c r="C18" s="47" t="s">
        <v>269</v>
      </c>
      <c r="D18" s="52" t="s">
        <v>493</v>
      </c>
      <c r="E18" s="52">
        <v>11255007</v>
      </c>
      <c r="F18" s="52" t="s">
        <v>484</v>
      </c>
      <c r="G18" s="60">
        <v>0</v>
      </c>
      <c r="H18" s="52">
        <v>0</v>
      </c>
      <c r="I18" s="60">
        <v>0</v>
      </c>
      <c r="J18" s="52">
        <v>0</v>
      </c>
      <c r="K18" s="60">
        <v>1</v>
      </c>
      <c r="L18" s="60">
        <v>0</v>
      </c>
      <c r="M18" s="52">
        <v>0</v>
      </c>
      <c r="N18" s="52">
        <v>0</v>
      </c>
      <c r="O18" s="53">
        <v>45408</v>
      </c>
    </row>
    <row r="19" spans="2:16" ht="63" customHeight="1">
      <c r="B19" s="47" t="s">
        <v>91</v>
      </c>
      <c r="C19" s="47" t="s">
        <v>269</v>
      </c>
      <c r="D19" s="52" t="s">
        <v>494</v>
      </c>
      <c r="E19" s="54" t="s">
        <v>462</v>
      </c>
      <c r="F19" s="47" t="s">
        <v>463</v>
      </c>
      <c r="G19" s="60">
        <v>0</v>
      </c>
      <c r="H19" s="52">
        <v>0</v>
      </c>
      <c r="I19" s="60">
        <v>0</v>
      </c>
      <c r="J19" s="52">
        <v>0</v>
      </c>
      <c r="K19" s="60">
        <v>9</v>
      </c>
      <c r="L19" s="60">
        <v>0</v>
      </c>
      <c r="M19" s="52">
        <v>0</v>
      </c>
      <c r="N19" s="52">
        <v>0</v>
      </c>
      <c r="O19" s="53">
        <v>45408</v>
      </c>
    </row>
    <row r="20" spans="2:16" ht="45.75" customHeight="1">
      <c r="B20" s="47" t="s">
        <v>91</v>
      </c>
      <c r="C20" s="47" t="s">
        <v>269</v>
      </c>
      <c r="D20" s="52" t="s">
        <v>503</v>
      </c>
      <c r="E20" s="54" t="s">
        <v>485</v>
      </c>
      <c r="F20" s="47" t="s">
        <v>486</v>
      </c>
      <c r="G20" s="60">
        <v>0</v>
      </c>
      <c r="H20" s="52">
        <v>0</v>
      </c>
      <c r="I20" s="60">
        <v>0</v>
      </c>
      <c r="J20" s="52">
        <v>0</v>
      </c>
      <c r="K20" s="60">
        <v>25</v>
      </c>
      <c r="L20" s="60">
        <v>0</v>
      </c>
      <c r="M20" s="52">
        <v>0</v>
      </c>
      <c r="N20" s="52">
        <v>0</v>
      </c>
      <c r="O20" s="53">
        <v>45377</v>
      </c>
    </row>
    <row r="21" spans="2:16" ht="51" customHeight="1">
      <c r="B21" s="47" t="s">
        <v>91</v>
      </c>
      <c r="C21" s="47" t="s">
        <v>269</v>
      </c>
      <c r="D21" s="52" t="s">
        <v>491</v>
      </c>
      <c r="E21" s="54" t="s">
        <v>453</v>
      </c>
      <c r="F21" s="47" t="s">
        <v>454</v>
      </c>
      <c r="G21" s="60">
        <v>0</v>
      </c>
      <c r="H21" s="52">
        <v>0</v>
      </c>
      <c r="I21" s="60">
        <v>0</v>
      </c>
      <c r="J21" s="52">
        <v>0</v>
      </c>
      <c r="K21" s="60">
        <v>2</v>
      </c>
      <c r="L21" s="60">
        <v>0</v>
      </c>
      <c r="M21" s="52">
        <v>0</v>
      </c>
      <c r="N21" s="52">
        <v>0</v>
      </c>
      <c r="O21" s="53">
        <v>45408</v>
      </c>
    </row>
    <row r="22" spans="2:16" ht="27.75" customHeight="1">
      <c r="B22" s="31" t="s">
        <v>92</v>
      </c>
      <c r="C22" s="31" t="s">
        <v>269</v>
      </c>
      <c r="D22" s="31" t="s">
        <v>487</v>
      </c>
      <c r="E22" s="31">
        <v>387770531</v>
      </c>
      <c r="F22" s="31" t="s">
        <v>464</v>
      </c>
      <c r="G22" s="56">
        <v>0</v>
      </c>
      <c r="H22" s="40">
        <v>45535</v>
      </c>
      <c r="I22" s="56">
        <v>0</v>
      </c>
      <c r="J22" s="39" t="s">
        <v>461</v>
      </c>
      <c r="K22" s="56">
        <v>4</v>
      </c>
      <c r="L22" s="64"/>
      <c r="M22" s="31"/>
      <c r="N22" s="31"/>
      <c r="O22" s="45" t="s">
        <v>488</v>
      </c>
    </row>
    <row r="23" spans="2:16" ht="27" customHeight="1">
      <c r="B23" s="31" t="s">
        <v>82</v>
      </c>
      <c r="C23" s="31" t="s">
        <v>269</v>
      </c>
      <c r="D23" s="37" t="s">
        <v>489</v>
      </c>
      <c r="E23" s="31">
        <v>525609536</v>
      </c>
      <c r="F23" s="31">
        <v>9004</v>
      </c>
      <c r="G23" s="56">
        <v>1</v>
      </c>
      <c r="H23" s="39" t="s">
        <v>490</v>
      </c>
      <c r="I23" s="56">
        <v>0</v>
      </c>
      <c r="J23" s="39" t="s">
        <v>452</v>
      </c>
      <c r="K23" s="56">
        <v>0</v>
      </c>
      <c r="L23" s="64">
        <v>0</v>
      </c>
      <c r="M23" s="39">
        <v>0</v>
      </c>
      <c r="N23" s="39">
        <v>0</v>
      </c>
      <c r="O23" s="45">
        <v>45401</v>
      </c>
    </row>
    <row r="24" spans="2:16" ht="12.5">
      <c r="B24" s="42"/>
      <c r="C24" s="42"/>
      <c r="D24" s="29"/>
      <c r="E24" s="41"/>
      <c r="F24" s="42"/>
      <c r="G24" s="85">
        <f>SUM(G8:G23)</f>
        <v>922</v>
      </c>
      <c r="H24" s="29"/>
      <c r="I24" s="29"/>
      <c r="J24" s="29"/>
      <c r="K24" s="85">
        <f>SUM(K8:K23)</f>
        <v>152</v>
      </c>
      <c r="L24" s="29"/>
      <c r="M24" s="29"/>
      <c r="N24" s="29"/>
      <c r="O24" s="29"/>
      <c r="P24" s="83"/>
    </row>
    <row r="25" spans="2:16" ht="12.5">
      <c r="B25" s="42"/>
      <c r="C25" s="42"/>
      <c r="D25" s="29"/>
      <c r="E25" s="42"/>
      <c r="F25" s="42"/>
      <c r="G25" s="83"/>
      <c r="H25" s="29"/>
      <c r="I25" s="29"/>
      <c r="J25" s="29"/>
      <c r="K25" s="42"/>
      <c r="L25" s="29"/>
      <c r="M25" s="29"/>
      <c r="N25" s="29"/>
      <c r="O25" s="55"/>
      <c r="P25" s="83"/>
    </row>
    <row r="26" spans="2:16" ht="12.5"/>
    <row r="27" spans="2:16" ht="12.5"/>
    <row r="28" spans="2:16" ht="12.5"/>
    <row r="29" spans="2:16" ht="12.5"/>
    <row r="30" spans="2:16" ht="12.5"/>
    <row r="31" spans="2:16" ht="12.5"/>
    <row r="32" spans="2:16" ht="12.5"/>
    <row r="33" spans="18:18" ht="12.5"/>
    <row r="34" spans="18:18" ht="12.5"/>
    <row r="35" spans="18:18" ht="12.5"/>
    <row r="36" spans="18:18" ht="12.5"/>
    <row r="37" spans="18:18" ht="12.5"/>
    <row r="38" spans="18:18" ht="12.5"/>
    <row r="39" spans="18:18" ht="12.5"/>
    <row r="40" spans="18:18" ht="12.5"/>
    <row r="41" spans="18:18" ht="12.5"/>
    <row r="42" spans="18:18" ht="12.5"/>
    <row r="43" spans="18:18" ht="12.5"/>
    <row r="44" spans="18:18" ht="12.5">
      <c r="R44" s="46">
        <v>2348</v>
      </c>
    </row>
    <row r="45" spans="18:18" ht="12.5">
      <c r="R45" s="46">
        <f>R44-G24</f>
        <v>1426</v>
      </c>
    </row>
    <row r="46" spans="18:18" ht="12.5"/>
    <row r="47" spans="18:18" ht="12.5"/>
    <row r="48" spans="18:18" ht="12.5"/>
    <row r="49" ht="12.5"/>
    <row r="50" ht="12.5"/>
    <row r="51" ht="12.5"/>
    <row r="52" ht="12.5"/>
    <row r="53" ht="12.5"/>
    <row r="54" ht="12.5"/>
    <row r="55" ht="12.5"/>
    <row r="56" ht="12.5"/>
    <row r="57" ht="12.5"/>
    <row r="58" ht="12.5"/>
    <row r="59" ht="12.5"/>
    <row r="60" ht="12.5"/>
    <row r="61" ht="12.5"/>
    <row r="62" ht="12.5"/>
    <row r="63" ht="12.5"/>
    <row r="64" ht="12.5"/>
    <row r="65" ht="12.5"/>
    <row r="66" ht="12.5"/>
    <row r="67" ht="12.5"/>
    <row r="68" ht="12.5"/>
    <row r="69" ht="12.5"/>
    <row r="70" ht="12.5"/>
    <row r="71" ht="12.5"/>
    <row r="72" ht="12.5"/>
    <row r="73" ht="12.5"/>
    <row r="74" ht="12.5"/>
    <row r="75" ht="12.5"/>
    <row r="76" ht="12.5"/>
    <row r="77" ht="12.5"/>
    <row r="78" ht="12.5"/>
    <row r="79" ht="12.5"/>
    <row r="80" ht="12.5"/>
    <row r="81" ht="12.5"/>
    <row r="82" ht="12.5"/>
    <row r="83" ht="12.5"/>
    <row r="84" ht="12.5"/>
    <row r="85" ht="12.5"/>
    <row r="86" ht="12.5"/>
    <row r="87" ht="12.5"/>
    <row r="88" ht="12.5"/>
    <row r="89" ht="12.5"/>
    <row r="90" ht="12.5"/>
    <row r="91" ht="12.5"/>
    <row r="92" ht="12.5"/>
    <row r="93" ht="12.5"/>
    <row r="94" ht="12.5"/>
    <row r="95" ht="12.5"/>
    <row r="96" ht="12.5"/>
    <row r="97" ht="12.5"/>
    <row r="98" ht="12.5"/>
    <row r="99" ht="12.5"/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5"/>
  <cols>
    <col min="1" max="2" width="17.453125" customWidth="1"/>
    <col min="3" max="3" width="13.7265625" customWidth="1"/>
    <col min="4" max="4" width="16.26953125" customWidth="1"/>
    <col min="5" max="5" width="16.81640625" customWidth="1"/>
    <col min="6" max="6" width="14.7265625" customWidth="1"/>
    <col min="7" max="7" width="16.26953125" customWidth="1"/>
    <col min="8" max="8" width="12.54296875" customWidth="1"/>
    <col min="20" max="20" width="18.1796875" style="14" customWidth="1"/>
    <col min="23" max="23" width="16.179687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2025-02-14T08:29:20Z</dcterms:modified>
</cp:coreProperties>
</file>
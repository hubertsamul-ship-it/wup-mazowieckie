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e827046f5afd33/Pulpit/praca/dane_miesieczne/Zwolnienia/2020/"/>
    </mc:Choice>
  </mc:AlternateContent>
  <xr:revisionPtr revIDLastSave="15" documentId="13_ncr:1_{71C7F5C9-442F-497F-8412-5CC64635664E}" xr6:coauthVersionLast="45" xr6:coauthVersionMax="45" xr10:uidLastSave="{131FD771-A5D1-4CDD-9BC0-6E0AEB30F873}"/>
  <bookViews>
    <workbookView xWindow="-108" yWindow="-108" windowWidth="23256" windowHeight="12576" firstSheet="1" activeTab="3" xr2:uid="{00000000-000D-0000-FFFF-FFFF00000000}"/>
  </bookViews>
  <sheets>
    <sheet name="Dane podstawowe" sheetId="8" r:id="rId1"/>
    <sheet name="Zgłoszenia w miesiącu" sheetId="9" r:id="rId2"/>
    <sheet name="Zgłoszenia na koniec miesiaca" sheetId="1" r:id="rId3"/>
    <sheet name="Zwolnienia" sheetId="5" r:id="rId4"/>
    <sheet name="Zwolnienia monitorowane" sheetId="3" r:id="rId5"/>
    <sheet name="listy" sheetId="6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0" i="5" l="1"/>
  <c r="H19" i="5" l="1"/>
  <c r="I28" i="9" l="1"/>
  <c r="I44" i="1" l="1"/>
  <c r="I56" i="1" s="1"/>
  <c r="B12" i="5"/>
  <c r="B10" i="9" l="1"/>
  <c r="B14" i="1"/>
  <c r="B13" i="1" l="1"/>
  <c r="B9" i="5" l="1"/>
  <c r="B12" i="1"/>
  <c r="B11" i="1" l="1"/>
  <c r="B19" i="1" l="1"/>
  <c r="B15" i="9"/>
  <c r="D2" i="1"/>
  <c r="D2" i="5"/>
  <c r="E2" i="9" l="1"/>
  <c r="C2" i="9" l="1"/>
  <c r="D2" i="9"/>
  <c r="E2" i="3"/>
  <c r="E2" i="5"/>
  <c r="D2" i="3" l="1"/>
  <c r="C2" i="3"/>
  <c r="C2" i="5"/>
</calcChain>
</file>

<file path=xl/sharedStrings.xml><?xml version="1.0" encoding="utf-8"?>
<sst xmlns="http://schemas.openxmlformats.org/spreadsheetml/2006/main" count="769" uniqueCount="577">
  <si>
    <t>Nazwa zakładu
 pracy</t>
  </si>
  <si>
    <t>Liczba osób
zgłoszonych 
do zwolnienia</t>
  </si>
  <si>
    <t>Planowany termin
dokonania zwolnień</t>
  </si>
  <si>
    <t>zgłoszenia aktualne według stanu w końcu miesiąca sprawozdawczego</t>
  </si>
  <si>
    <t>Liczba osób zwolnionych
z przyczyn dotyczących
zakładu pracy na podstawie
wcześniejszych zgłoszeń</t>
  </si>
  <si>
    <t>Liczba osób
objętych programem 
zwolnień</t>
  </si>
  <si>
    <t>Działania realizowane w ramach programu</t>
  </si>
  <si>
    <t>Planowany termin 
dokonania zwolnień</t>
  </si>
  <si>
    <t>zgłoszenia w miesiącu sprawozdawczym</t>
  </si>
  <si>
    <t>Powiat</t>
  </si>
  <si>
    <t>REGON zakładu pracy (14-cyfrowy)</t>
  </si>
  <si>
    <t>Województwo:</t>
  </si>
  <si>
    <t xml:space="preserve">bolesławiecki                                                   </t>
  </si>
  <si>
    <t xml:space="preserve">dzierżoniowski                                                  </t>
  </si>
  <si>
    <t xml:space="preserve">głogowski                                                       </t>
  </si>
  <si>
    <t xml:space="preserve">górowski                                                        </t>
  </si>
  <si>
    <t xml:space="preserve">jaworski                                                        </t>
  </si>
  <si>
    <t xml:space="preserve">jeleniogórski                                                   </t>
  </si>
  <si>
    <t xml:space="preserve">kamiennogórski                                                  </t>
  </si>
  <si>
    <t xml:space="preserve">kłodzki                                                         </t>
  </si>
  <si>
    <t xml:space="preserve">legnicki                                                        </t>
  </si>
  <si>
    <t xml:space="preserve">lubański                                                        </t>
  </si>
  <si>
    <t xml:space="preserve"> Sekcja PKD</t>
  </si>
  <si>
    <t>publiczny</t>
  </si>
  <si>
    <t>prywatny</t>
  </si>
  <si>
    <t xml:space="preserve">lubiński                                                        </t>
  </si>
  <si>
    <t xml:space="preserve">lwówecki                                                        </t>
  </si>
  <si>
    <t xml:space="preserve">milicki                                                         </t>
  </si>
  <si>
    <t xml:space="preserve">oleśnicki                                                       </t>
  </si>
  <si>
    <t xml:space="preserve">oławski                                                         </t>
  </si>
  <si>
    <t xml:space="preserve">polkowicki                                                      </t>
  </si>
  <si>
    <t xml:space="preserve">strzeliński                                                     </t>
  </si>
  <si>
    <t xml:space="preserve">średzki                                                         </t>
  </si>
  <si>
    <t xml:space="preserve">świdnicki                                                       </t>
  </si>
  <si>
    <t xml:space="preserve">trzebnicki                                                      </t>
  </si>
  <si>
    <t xml:space="preserve">wałbrzyski                                                      </t>
  </si>
  <si>
    <t xml:space="preserve">wołowski                                                        </t>
  </si>
  <si>
    <t xml:space="preserve">wrocławski                                                      </t>
  </si>
  <si>
    <t xml:space="preserve">ząbkowicki                                                      </t>
  </si>
  <si>
    <t xml:space="preserve">zgorzelecki                                                     </t>
  </si>
  <si>
    <t xml:space="preserve">złotoryjski                                                     </t>
  </si>
  <si>
    <t xml:space="preserve">m. Jelenia Góra                                                 </t>
  </si>
  <si>
    <t xml:space="preserve">m. Legnica                                                      </t>
  </si>
  <si>
    <t xml:space="preserve">m. Wrocław                                                      </t>
  </si>
  <si>
    <t xml:space="preserve">m. Wałbrzych                                                    </t>
  </si>
  <si>
    <t xml:space="preserve">aleksandrowski                                                  </t>
  </si>
  <si>
    <t xml:space="preserve">brodnicki                                                       </t>
  </si>
  <si>
    <t xml:space="preserve">bydgoski                                                        </t>
  </si>
  <si>
    <t xml:space="preserve">chełmiński                                                      </t>
  </si>
  <si>
    <t xml:space="preserve">golubsko-dobrzyński                                             </t>
  </si>
  <si>
    <t xml:space="preserve">grudziądzki                                                     </t>
  </si>
  <si>
    <t xml:space="preserve">inowrocławski                                                   </t>
  </si>
  <si>
    <t xml:space="preserve">lipnowski                                                       </t>
  </si>
  <si>
    <t xml:space="preserve">mogileński                                                      </t>
  </si>
  <si>
    <t xml:space="preserve">nakielski                                                       </t>
  </si>
  <si>
    <t xml:space="preserve">radziejowski                                                    </t>
  </si>
  <si>
    <t xml:space="preserve">rypiński                                                        </t>
  </si>
  <si>
    <t xml:space="preserve">sępoleński                                                      </t>
  </si>
  <si>
    <t xml:space="preserve">świecki                                                         </t>
  </si>
  <si>
    <t xml:space="preserve">toruński                                                        </t>
  </si>
  <si>
    <t xml:space="preserve">tucholski                                                       </t>
  </si>
  <si>
    <t xml:space="preserve">wąbrzeski                                                       </t>
  </si>
  <si>
    <t xml:space="preserve">włocławski                                                      </t>
  </si>
  <si>
    <t xml:space="preserve">żniński                                                         </t>
  </si>
  <si>
    <t xml:space="preserve">m. Bydgoszcz                                                    </t>
  </si>
  <si>
    <t xml:space="preserve">m. Grudziądz                                                    </t>
  </si>
  <si>
    <t xml:space="preserve">m. Toruń                                                        </t>
  </si>
  <si>
    <t xml:space="preserve">m. Włocławek                                                    </t>
  </si>
  <si>
    <t xml:space="preserve">bialski                                                         </t>
  </si>
  <si>
    <t xml:space="preserve">biłgorajski                                                     </t>
  </si>
  <si>
    <t xml:space="preserve">chełmski                                                        </t>
  </si>
  <si>
    <t xml:space="preserve">hrubieszowski                                                   </t>
  </si>
  <si>
    <t xml:space="preserve">janowski                                                        </t>
  </si>
  <si>
    <t xml:space="preserve">krasnostawski                                                   </t>
  </si>
  <si>
    <t xml:space="preserve">kraśnicki                                                       </t>
  </si>
  <si>
    <t xml:space="preserve">lubartowski                                                     </t>
  </si>
  <si>
    <t xml:space="preserve">lubelski                                                        </t>
  </si>
  <si>
    <t xml:space="preserve">łęczyński                                                       </t>
  </si>
  <si>
    <t xml:space="preserve">łukowski                                                        </t>
  </si>
  <si>
    <t xml:space="preserve">opolski                                                         </t>
  </si>
  <si>
    <t xml:space="preserve">parczewski                                                      </t>
  </si>
  <si>
    <t xml:space="preserve">puławski                                                        </t>
  </si>
  <si>
    <t xml:space="preserve">radzyński                                                       </t>
  </si>
  <si>
    <t xml:space="preserve">rycki                                                           </t>
  </si>
  <si>
    <t xml:space="preserve">tomaszowski                                                     </t>
  </si>
  <si>
    <t xml:space="preserve">włodawski                                                       </t>
  </si>
  <si>
    <t xml:space="preserve">zamojski                                                        </t>
  </si>
  <si>
    <t xml:space="preserve">m. Biała Podlaska                                               </t>
  </si>
  <si>
    <t xml:space="preserve">m. Chełm                                                        </t>
  </si>
  <si>
    <t xml:space="preserve">m. Lublin                                                       </t>
  </si>
  <si>
    <t xml:space="preserve">m. Zamość                                                       </t>
  </si>
  <si>
    <t xml:space="preserve">gorzowski                                                       </t>
  </si>
  <si>
    <t xml:space="preserve">krośnieński                                                     </t>
  </si>
  <si>
    <t xml:space="preserve">międzyrzecki                                                    </t>
  </si>
  <si>
    <t xml:space="preserve">nowosolski                                                      </t>
  </si>
  <si>
    <t xml:space="preserve">słubicki                                                        </t>
  </si>
  <si>
    <t xml:space="preserve">strzelecko-drezdenecki                                          </t>
  </si>
  <si>
    <t xml:space="preserve">sulęciński                                                      </t>
  </si>
  <si>
    <t xml:space="preserve">świebodziński                                                   </t>
  </si>
  <si>
    <t xml:space="preserve">zielonogórski                                                   </t>
  </si>
  <si>
    <t xml:space="preserve">żagański                                                        </t>
  </si>
  <si>
    <t xml:space="preserve">żarski                                                          </t>
  </si>
  <si>
    <t xml:space="preserve">wschowski                                                       </t>
  </si>
  <si>
    <t xml:space="preserve">m. Gorzów Wielkopolski                                          </t>
  </si>
  <si>
    <t xml:space="preserve">m. Zielona Góra                                                 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</si>
  <si>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</si>
  <si>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</si>
  <si>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</si>
  <si>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</si>
  <si>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</si>
  <si>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</si>
  <si>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</si>
  <si>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</si>
  <si>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</si>
  <si>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</si>
  <si>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</si>
  <si>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</si>
  <si>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</si>
  <si>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</si>
  <si>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</si>
  <si>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</si>
  <si>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</si>
  <si>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</si>
  <si>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</si>
  <si>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</si>
  <si>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</si>
  <si>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</si>
  <si>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</si>
  <si>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</si>
  <si>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</si>
  <si>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</si>
  <si>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</si>
  <si>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</si>
  <si>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</si>
  <si>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</si>
  <si>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</si>
  <si>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</si>
  <si>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</si>
  <si>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</si>
  <si>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</si>
  <si>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</si>
  <si>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</si>
  <si>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</si>
  <si>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</si>
  <si>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</si>
  <si>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</si>
  <si>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</si>
  <si>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</si>
  <si>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</si>
  <si>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</si>
  <si>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</si>
  <si>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</si>
  <si>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</si>
  <si>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</si>
  <si>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</si>
  <si>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</si>
  <si>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</si>
  <si>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</si>
  <si>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</si>
  <si>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</si>
  <si>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</si>
  <si>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</si>
  <si>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</si>
  <si>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</si>
  <si>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</si>
  <si>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</si>
  <si>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</si>
  <si>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</si>
  <si>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</si>
  <si>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</si>
  <si>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</si>
  <si>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</si>
  <si>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</si>
  <si>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</si>
  <si>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</si>
  <si>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</si>
  <si>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</si>
  <si>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</si>
  <si>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</si>
  <si>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</si>
  <si>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</si>
  <si>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</si>
  <si>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</si>
  <si>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</si>
  <si>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</si>
  <si>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</si>
  <si>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</si>
  <si>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</si>
  <si>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</si>
  <si>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</si>
  <si>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</si>
  <si>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</si>
  <si>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</si>
  <si>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</si>
  <si>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</si>
  <si>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</si>
  <si>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</si>
  <si>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</si>
  <si>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</si>
  <si>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</si>
  <si>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</si>
  <si>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</si>
  <si>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</si>
  <si>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</si>
  <si>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</si>
  <si>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</si>
  <si>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</si>
  <si>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</si>
  <si>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</si>
  <si>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</si>
  <si>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</si>
  <si>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</si>
  <si>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</si>
  <si>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</si>
  <si>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</si>
  <si>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</si>
  <si>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</si>
  <si>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</si>
  <si>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</si>
  <si>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</si>
  <si>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</si>
  <si>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</si>
  <si>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</si>
  <si>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</si>
  <si>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</si>
  <si>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</si>
  <si>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</si>
  <si>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</si>
  <si>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</si>
  <si>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</si>
  <si>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</si>
  <si>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</si>
  <si>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</si>
  <si>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</si>
  <si>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</si>
  <si>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</si>
  <si>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</si>
  <si>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</si>
  <si>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</si>
  <si>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</si>
  <si>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</si>
  <si>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</si>
  <si>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</si>
  <si>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</si>
  <si>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</si>
  <si>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</si>
  <si>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</si>
  <si>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</si>
  <si>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</si>
  <si>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</si>
  <si>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</si>
  <si>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</si>
  <si>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</si>
  <si>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</si>
  <si>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</si>
  <si>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</si>
  <si>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</si>
  <si>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</si>
  <si>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</si>
  <si>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</si>
  <si>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</si>
  <si>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</si>
  <si>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</si>
  <si>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</si>
  <si>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</si>
  <si>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</si>
  <si>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</si>
  <si>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</si>
  <si>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</si>
  <si>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</si>
  <si>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</si>
  <si>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</si>
  <si>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</si>
  <si>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</si>
  <si>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</si>
  <si>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</si>
  <si>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</si>
  <si>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bieruńsko-lędziński</t>
  </si>
  <si>
    <t>wodzisławski</t>
  </si>
  <si>
    <t>zawierciański</t>
  </si>
  <si>
    <t>żywiecki</t>
  </si>
  <si>
    <t xml:space="preserve">m. Bielsko-Biała                                                </t>
  </si>
  <si>
    <t xml:space="preserve">m. Bytom                                                        </t>
  </si>
  <si>
    <t xml:space="preserve">m. Chorzów                                                      </t>
  </si>
  <si>
    <t xml:space="preserve">m. Częstochowa                                                  </t>
  </si>
  <si>
    <t xml:space="preserve">m. Dąbrowa Górnicza                                             </t>
  </si>
  <si>
    <t xml:space="preserve">m. Gliwice                                                      </t>
  </si>
  <si>
    <t xml:space="preserve">m. Jastrzębie-Zdrój                                             </t>
  </si>
  <si>
    <t xml:space="preserve">m. Jaworzno                                                     </t>
  </si>
  <si>
    <t xml:space="preserve">m. Katowice                                                     </t>
  </si>
  <si>
    <t xml:space="preserve">m. Mysłowice                                                    </t>
  </si>
  <si>
    <t xml:space="preserve">m. Piekary Śląskie                                              </t>
  </si>
  <si>
    <t xml:space="preserve">m. Ruda Śląska                                                  </t>
  </si>
  <si>
    <t xml:space="preserve">m. Rybnik                                                       </t>
  </si>
  <si>
    <t xml:space="preserve">m. Siemianowice Śląskie                                         </t>
  </si>
  <si>
    <t xml:space="preserve">m. Sosnowiec                                                    </t>
  </si>
  <si>
    <t xml:space="preserve">m. Świętochłowice                                               </t>
  </si>
  <si>
    <t xml:space="preserve">m. Tychy                                                        </t>
  </si>
  <si>
    <t xml:space="preserve">m. Zabrze                                                       </t>
  </si>
  <si>
    <t xml:space="preserve">m. Żory                                                         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</si>
  <si>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</si>
  <si>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</si>
  <si>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</si>
  <si>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</si>
  <si>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</si>
  <si>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</si>
  <si>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</si>
  <si>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</si>
  <si>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</si>
  <si>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</si>
  <si>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</si>
  <si>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</si>
  <si>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</si>
  <si>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 xml:space="preserve">m. Kielce                                                       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</si>
  <si>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</si>
  <si>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</si>
  <si>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</si>
  <si>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</si>
  <si>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</si>
  <si>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</si>
  <si>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</si>
  <si>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</si>
  <si>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</si>
  <si>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</si>
  <si>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</si>
  <si>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</si>
  <si>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</si>
  <si>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</si>
  <si>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</si>
  <si>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</si>
  <si>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</si>
  <si>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</si>
  <si>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</si>
  <si>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 xml:space="preserve">m. Elbląg                                                       </t>
  </si>
  <si>
    <t xml:space="preserve">m. Olsztyn                                                      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</si>
  <si>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</si>
  <si>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</si>
  <si>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</si>
  <si>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</si>
  <si>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</si>
  <si>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</si>
  <si>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</si>
  <si>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</si>
  <si>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</si>
  <si>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</si>
  <si>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</si>
  <si>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</si>
  <si>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</si>
  <si>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</si>
  <si>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</si>
  <si>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</si>
  <si>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</si>
  <si>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</si>
  <si>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</si>
  <si>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</si>
  <si>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</si>
  <si>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</si>
  <si>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</si>
  <si>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</si>
  <si>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</si>
  <si>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</si>
  <si>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</si>
  <si>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</si>
  <si>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</si>
  <si>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 xml:space="preserve">m. Kalisz                                                       </t>
  </si>
  <si>
    <t xml:space="preserve">m. Konin                                                        </t>
  </si>
  <si>
    <t xml:space="preserve">m. Leszno                                                       </t>
  </si>
  <si>
    <t xml:space="preserve">m. Poznań                                                       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</si>
  <si>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</si>
  <si>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</si>
  <si>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</si>
  <si>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</si>
  <si>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</si>
  <si>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</si>
  <si>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</si>
  <si>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</si>
  <si>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</si>
  <si>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</si>
  <si>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</si>
  <si>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</si>
  <si>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</si>
  <si>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</si>
  <si>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</si>
  <si>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</si>
  <si>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</si>
  <si>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</si>
  <si>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 xml:space="preserve">m. Koszalin                                                     </t>
  </si>
  <si>
    <t xml:space="preserve">m. Szczecin                                                     </t>
  </si>
  <si>
    <t xml:space="preserve">m. Świnoujście                                                  </t>
  </si>
  <si>
    <t>Osoba do kontaktu z WUP</t>
  </si>
  <si>
    <t>e-mail</t>
  </si>
  <si>
    <t>Imię i nazwisko</t>
  </si>
  <si>
    <t>tel.</t>
  </si>
  <si>
    <t>WOJEWÓDZTWO</t>
  </si>
  <si>
    <t xml:space="preserve">Dane podstawowe </t>
  </si>
  <si>
    <t>Zgłoszenia zwolnień z przyczyn dotyczących zakładu pracy (w miesiącu sprawozdawczym)</t>
  </si>
  <si>
    <t xml:space="preserve">Zgłoszenia zwolnień z przyczyn dotyczących zakładu pracy (w końcu miesiąca sprawozdawczego) </t>
  </si>
  <si>
    <t>KUJAWSKO-POMORSKIE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</si>
  <si>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</si>
  <si>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</si>
  <si>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</si>
  <si>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</si>
  <si>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</si>
  <si>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</si>
  <si>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</si>
  <si>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</si>
  <si>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</si>
  <si>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</si>
  <si>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</si>
  <si>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</si>
  <si>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</si>
  <si>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</si>
  <si>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</si>
  <si>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</si>
  <si>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</si>
  <si>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</si>
  <si>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zwolnienia</t>
    </r>
  </si>
  <si>
    <r>
      <t>2. Proszę uzupełnić pole</t>
    </r>
    <r>
      <rPr>
        <i/>
        <sz val="11"/>
        <rFont val="Arial"/>
        <family val="2"/>
        <charset val="238"/>
      </rPr>
      <t xml:space="preserve"> "osoba do kontaktu z WUP"</t>
    </r>
  </si>
  <si>
    <t>OKRES SPRAWOZDAWCZY - MIESIĄC</t>
  </si>
  <si>
    <t>OKRES SPRAWOZDAWCZY - ROK</t>
  </si>
  <si>
    <t>Plik dla WUP</t>
  </si>
  <si>
    <t>Styczeń</t>
  </si>
  <si>
    <t>Luty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</si>
  <si>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</si>
  <si>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</si>
  <si>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</si>
  <si>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</si>
  <si>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</si>
  <si>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</si>
  <si>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</si>
  <si>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</si>
  <si>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</si>
  <si>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</si>
  <si>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 xml:space="preserve">Zwolnienia z przyczyn dotyczących zakładu pracy (w miesiąc sprawozdawczym) </t>
  </si>
  <si>
    <t>zwolnienia w  miesiącu sprawozdawczym</t>
  </si>
  <si>
    <t>zwolnienia monitorowane w miesiącu sprawozdawczym</t>
  </si>
  <si>
    <t>1. Proszę wybrać z listy rozwijanej powyżej województwo i okres sprawozdawczy (miesiąci rok) za jaki przekazywane są dane</t>
  </si>
  <si>
    <t xml:space="preserve">Zwolnienia monitorowane (w miesiącu sprawozdawczym) </t>
  </si>
  <si>
    <t>Hubert Samul</t>
  </si>
  <si>
    <t>h.samul@wup.mazowsze.pl</t>
  </si>
  <si>
    <t>PPH SMAKOSZ Mariusz Orłowski</t>
  </si>
  <si>
    <t>1085Z</t>
  </si>
  <si>
    <t>ELGO Light Industries S.A.</t>
  </si>
  <si>
    <t>2740z</t>
  </si>
  <si>
    <t>brak danych</t>
  </si>
  <si>
    <t>JAN-POL BIELIŃSCY SPÓŁKA Z OGRANICZONĄ ODPOWIEDZIALNOŚCIĄ</t>
  </si>
  <si>
    <t>2733Z</t>
  </si>
  <si>
    <t>do 31.03.2020</t>
  </si>
  <si>
    <t xml:space="preserve">Stora Enso Poland S.A. </t>
  </si>
  <si>
    <t>1712Z</t>
  </si>
  <si>
    <t>do 31.12.2020</t>
  </si>
  <si>
    <t>Camaieu Polska Sp. z o.o.</t>
  </si>
  <si>
    <t>REGON016318511</t>
  </si>
  <si>
    <t>31.03.2020-30.06.2020</t>
  </si>
  <si>
    <t>"TOMIC" Spółka Akcyjna</t>
  </si>
  <si>
    <t>2751Z</t>
  </si>
  <si>
    <t>KROSS  USŁUGI Sp z o o ,ul.Leszno 46,06-300 Przasnysz</t>
  </si>
  <si>
    <t>82.99Z</t>
  </si>
  <si>
    <t>27.03.2020 - 31.05.2020</t>
  </si>
  <si>
    <t>KROSS LOGISTYKA,ul.Leszno 46,06-300 Przasnysz</t>
  </si>
  <si>
    <t>52.10B</t>
  </si>
  <si>
    <t>KROSS  SA,ul.Leszno 46,06-300 Przsnysz</t>
  </si>
  <si>
    <t>ZIPP Skutery Sp z o.o , ul.Leszno 40, 06-300 Przasnysz</t>
  </si>
  <si>
    <t>45.40Z</t>
  </si>
  <si>
    <t>30.03.2020-31.10.2020</t>
  </si>
  <si>
    <t>NEST BANK SPÓŁKA AKCYJNA</t>
  </si>
  <si>
    <t>6419Z</t>
  </si>
  <si>
    <t>31.03.2020</t>
  </si>
  <si>
    <t>absencja</t>
  </si>
  <si>
    <t>PROVIDENT POLSKA SPÓŁKA AKCYJNA</t>
  </si>
  <si>
    <t>6492Z</t>
  </si>
  <si>
    <t>30.06.2020</t>
  </si>
  <si>
    <t xml:space="preserve">PZ Cussons Polska S.A. w likwidacji ul. Chociska 17                                            00-791 Warszawa </t>
  </si>
  <si>
    <t>017471692</t>
  </si>
  <si>
    <t>4645Z</t>
  </si>
  <si>
    <t>03-06.2020 r.</t>
  </si>
  <si>
    <t xml:space="preserve">Teren Operations Polnad sp. z o.o. ul. Złota 59 00-120 Warszawa </t>
  </si>
  <si>
    <t>7010Z</t>
  </si>
  <si>
    <t>03-04.2020 r.</t>
  </si>
  <si>
    <t xml:space="preserve">Formfarm Sp. z o.o ul. Chełmżyńska 219 04-458 Warszawa </t>
  </si>
  <si>
    <t>015714593</t>
  </si>
  <si>
    <t>4646Z</t>
  </si>
  <si>
    <t xml:space="preserve">24                            Płock </t>
  </si>
  <si>
    <t xml:space="preserve">MURATOR EXPO Sp. z o.o. ul. Dęblińska 6 04-187  Warszawa </t>
  </si>
  <si>
    <t xml:space="preserve">  014837230</t>
  </si>
  <si>
    <t>8230Z</t>
  </si>
  <si>
    <t>Carlson Wagonit Ecenter Polska Sp. z o.o. ul. Domaniewska 41 02-672 Warszawa</t>
  </si>
  <si>
    <t>277700010</t>
  </si>
  <si>
    <t>7990C</t>
  </si>
  <si>
    <t xml:space="preserve">Imperial Cinepix Sp. z o.o. ul. Grójecka 208 02-390 Warszawa </t>
  </si>
  <si>
    <t>011167237</t>
  </si>
  <si>
    <t>5913Z</t>
  </si>
  <si>
    <t xml:space="preserve">MS Sales Support Sp. z o.o. ul. Włodarzewska 45A 02-384 Warszawa </t>
  </si>
  <si>
    <t>7311Z</t>
  </si>
  <si>
    <t xml:space="preserve">Booksy International Sp. z o.o. ul. Łucka 2/4/6 lok U4 00-845 Warszawa </t>
  </si>
  <si>
    <t>6399Z</t>
  </si>
  <si>
    <t xml:space="preserve">Topsil Semicondutors Sp. zo.o.                                                              ul. Wolczyńska 133 01-919 Warszawa </t>
  </si>
  <si>
    <t>362138710</t>
  </si>
  <si>
    <t>2611Z</t>
  </si>
  <si>
    <t>01-12.2019 r.</t>
  </si>
  <si>
    <t>PKO BP S.A.  ul. Puławska 15  02-515 Warszawa</t>
  </si>
  <si>
    <t xml:space="preserve">608                               (Cała Polska)                                      </t>
  </si>
  <si>
    <t xml:space="preserve">02- 12.2019 r. </t>
  </si>
  <si>
    <t>Bank Polska Kasa Opieki   Spółka Akcyjna                                       ul. Grzybowska 53/57  00-950 Warszawa</t>
  </si>
  <si>
    <t>000010205</t>
  </si>
  <si>
    <t>584              wypowiedzenia definitywne                                         +                                                                    wypowiedzenia zmieniające warunki pracy  i płacy                (Cała Polska)</t>
  </si>
  <si>
    <t>04-10.2019 r.</t>
  </si>
  <si>
    <t>Castorama Polska Sp. z o.o. Oddział I w Warszawie                                 ul. Krakowiaków 78  02-255  Warszawa</t>
  </si>
  <si>
    <t>4752Z</t>
  </si>
  <si>
    <t>06.2019 r. -12.2020 r.</t>
  </si>
  <si>
    <t xml:space="preserve">Idea Bank S.A.  ul. Przyokopowa 33 01-208 Warszawa </t>
  </si>
  <si>
    <t>011063638</t>
  </si>
  <si>
    <t>514               wypowiedzenia definitywne                                 +                                wypowiedzenia zmieniające warunki pracy  i płacy                              (Cała Polska)</t>
  </si>
  <si>
    <t>06-12.2019 r.</t>
  </si>
  <si>
    <t>Svenska Handelsbanken AB ( Spółka Akcyjna) Oddział                   w Polsce  ul. Wołowska 22  02-675  Warszawa</t>
  </si>
  <si>
    <t>07.2019 r. -08.2020 r.</t>
  </si>
  <si>
    <t xml:space="preserve">T-MOBILE Polska S.A. ul. Marynarska 12 02-674 Warszawy </t>
  </si>
  <si>
    <t>011417295</t>
  </si>
  <si>
    <t>6120Z</t>
  </si>
  <si>
    <t>294          wypowiedzenia definitywne                                 +                                                                    wypowiedzenia zmieniające warunki pracy  i płacy                              (Cała Polska)</t>
  </si>
  <si>
    <t>09.2019 r. -03.2020 r.</t>
  </si>
  <si>
    <t>GE Power sp. zo.o. w Warszawie   ul. Inflancka 4  00-189 Warszawa</t>
  </si>
  <si>
    <t xml:space="preserve">11.2019 r.  - 12.2020 r. </t>
  </si>
  <si>
    <t xml:space="preserve">Pierre Fabre Dermo-Cosmetique Polska Sp. z o.o.                             ul. Belwederska 20/22 00-762 Warszawa </t>
  </si>
  <si>
    <t xml:space="preserve">27                         wypowiedzenia definitywne                         +                                    wypowiedzenia zmieniające warunki pracy  i płacy </t>
  </si>
  <si>
    <t xml:space="preserve">Orange Polska S.A. Al. Jerozolimskie 160  02-326 Warszawa </t>
  </si>
  <si>
    <t xml:space="preserve">1250                                                            wypowiedzenia definitywne                                             +                                     wypowiedzenia zmieniające                            (Cała Polska)                                                                      </t>
  </si>
  <si>
    <t xml:space="preserve">12.2019 r.-12.2020 r. </t>
  </si>
  <si>
    <t>CA Sp. z o.o.</t>
  </si>
  <si>
    <t>012248245</t>
  </si>
  <si>
    <t>6201Z</t>
  </si>
  <si>
    <t xml:space="preserve">12.2019 r.-03.2020 r. </t>
  </si>
  <si>
    <t>Agito Sp. z o.o.  ul. Inflancka 4 a 00-189 Warszawa</t>
  </si>
  <si>
    <t>4791Z</t>
  </si>
  <si>
    <t xml:space="preserve">01 - 04.2020 r. </t>
  </si>
  <si>
    <t xml:space="preserve">Bank Millennium S.A.  ul. Stanisława Żaryna  2A  02-593 Warszawa </t>
  </si>
  <si>
    <t xml:space="preserve">260                          (Cała Polska)                                                                      </t>
  </si>
  <si>
    <t>Provident Polska S.A. ul. Inflancka 4a 03-189 Warszawa</t>
  </si>
  <si>
    <t xml:space="preserve">113                              (Cała Polska)          </t>
  </si>
  <si>
    <t>Takeda Pharma Sp. z o.o. ul. Prosta 68 00-838 Warszawa</t>
  </si>
  <si>
    <t>2120Z</t>
  </si>
  <si>
    <t xml:space="preserve">01 - 03.2020 r. </t>
  </si>
  <si>
    <t xml:space="preserve">Nest Bank S.A. ul. Wołoska 24 02-675 Warszawa </t>
  </si>
  <si>
    <t>010928125</t>
  </si>
  <si>
    <t xml:space="preserve">53                       (Cała Polska)     </t>
  </si>
  <si>
    <t xml:space="preserve">Souter Holdings Poland Sp. z o.o. Al. Niepodległości 18 02-653 Warszawa </t>
  </si>
  <si>
    <t>4939Z</t>
  </si>
  <si>
    <t>163                        (Cała Polska)</t>
  </si>
  <si>
    <t>Alpega Poland Sp. z o.o ul. Przyokopowa 33 01-208 Warszawa</t>
  </si>
  <si>
    <t>5829Z</t>
  </si>
  <si>
    <t>Hermes Energy  ul. Postępu 18 a 02-676 Warszawa</t>
  </si>
  <si>
    <t>147154380</t>
  </si>
  <si>
    <t>3523Z</t>
  </si>
  <si>
    <t xml:space="preserve">02 - 04.2020 r. </t>
  </si>
  <si>
    <t xml:space="preserve">550                             (Cała Polska)                                      </t>
  </si>
  <si>
    <t xml:space="preserve">02- 12.2020 r. </t>
  </si>
  <si>
    <t>Bank Polska Kasa Opieki   Spółka Akcyjna   ul. Grzybowska 53/57    00-950 Warszawa</t>
  </si>
  <si>
    <t>1200            wypowiedzenia definitywne                                         + 1350                                                                    wypowiedzenia zmieniające warunki pracy  i płacy                (Cała Polska)</t>
  </si>
  <si>
    <t>02-10.2020 r.</t>
  </si>
  <si>
    <t>Getin Noble Bank Polska S.A. ul. Przyokopowa 33                    01-208 Warszawa</t>
  </si>
  <si>
    <t>141334039</t>
  </si>
  <si>
    <t>02-06.2020 r.</t>
  </si>
  <si>
    <t xml:space="preserve">Przedsiębiorstwo Państwowe "Porty Lotnicze"                                                              ul. Żwirki i Wigury 1  00-906 Warszawa </t>
  </si>
  <si>
    <t>000126652</t>
  </si>
  <si>
    <t xml:space="preserve">255              wypowiedzenia zmieniające warunki pracy  i płacy </t>
  </si>
  <si>
    <t>Polnord S.A. ul. Branickiego 15 02-972 Warszawa</t>
  </si>
  <si>
    <t>4120Z</t>
  </si>
  <si>
    <t xml:space="preserve">02-07.2020 r. </t>
  </si>
  <si>
    <t>PRAXIS INVENT spółka z ograniczoną odpowiedzialnością spółka komandytowa</t>
  </si>
  <si>
    <t>4690Z</t>
  </si>
  <si>
    <t>CDP Sp. z o.o ul. Jagiellońska 88 00-992 Warszawa</t>
  </si>
  <si>
    <t>016103851</t>
  </si>
  <si>
    <t>5821Z</t>
  </si>
  <si>
    <t xml:space="preserve">24 Płock </t>
  </si>
  <si>
    <t>CAMAIEU POLSKA SP. Z O.O.</t>
  </si>
  <si>
    <t>do 30.06.2020</t>
  </si>
  <si>
    <t>31.01.2020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</si>
</sst>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0\-000"/>
    <numFmt numFmtId="165" formatCode="yyyy/mm/dd;@"/>
  </numFmts>
  <fonts count="19" x14ac:knownFonts="1">
    <font>
      <sz val="10"/>
      <name val="Arial"/>
      <charset val="238"/>
    </font>
    <font>
      <b/>
      <sz val="10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name val="Arial CE"/>
      <charset val="238"/>
    </font>
    <font>
      <u/>
      <sz val="10"/>
      <color theme="10"/>
      <name val="Arial"/>
      <family val="2"/>
      <charset val="238"/>
    </font>
    <font>
      <sz val="10"/>
      <color rgb="FFFF000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9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1" fillId="0" borderId="0" applyNumberFormat="0" applyFill="0" applyBorder="0" applyAlignment="0" applyProtection="0"/>
    <xf numFmtId="0" fontId="12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/>
    <xf numFmtId="0" fontId="3" fillId="0" borderId="0"/>
    <xf numFmtId="0" fontId="1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</cellStyleXfs>
  <cellXfs count="1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/>
    <xf numFmtId="0" fontId="0" fillId="0" borderId="0" xfId="0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0" xfId="0" applyFill="1" applyBorder="1"/>
    <xf numFmtId="0" fontId="0" fillId="2" borderId="9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5" fillId="2" borderId="0" xfId="0" applyFont="1" applyFill="1" applyBorder="1" applyAlignment="1">
      <alignment horizontal="center"/>
    </xf>
    <xf numFmtId="0" fontId="1" fillId="0" borderId="0" xfId="0" applyFont="1" applyAlignment="1"/>
    <xf numFmtId="0" fontId="3" fillId="0" borderId="0" xfId="0" applyFont="1"/>
    <xf numFmtId="0" fontId="6" fillId="0" borderId="0" xfId="0" applyFont="1"/>
    <xf numFmtId="0" fontId="1" fillId="2" borderId="14" xfId="0" applyFont="1" applyFill="1" applyBorder="1" applyAlignment="1">
      <alignment horizontal="left" vertical="center"/>
    </xf>
    <xf numFmtId="49" fontId="3" fillId="0" borderId="0" xfId="0" applyNumberFormat="1" applyFont="1" applyAlignment="1"/>
    <xf numFmtId="49" fontId="0" fillId="0" borderId="0" xfId="0" applyNumberFormat="1" applyAlignment="1"/>
    <xf numFmtId="0" fontId="1" fillId="0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7" xfId="0" applyBorder="1"/>
    <xf numFmtId="0" fontId="1" fillId="0" borderId="1" xfId="0" applyFont="1" applyBorder="1" applyAlignment="1">
      <alignment horizontal="center"/>
    </xf>
    <xf numFmtId="0" fontId="3" fillId="0" borderId="0" xfId="0" applyFont="1" applyAlignment="1"/>
    <xf numFmtId="0" fontId="7" fillId="0" borderId="0" xfId="0" applyFont="1"/>
    <xf numFmtId="0" fontId="9" fillId="0" borderId="0" xfId="0" applyFont="1"/>
    <xf numFmtId="0" fontId="0" fillId="0" borderId="0" xfId="0" applyAlignment="1">
      <alignment horizontal="left" vertical="center" wrapText="1"/>
    </xf>
    <xf numFmtId="0" fontId="3" fillId="2" borderId="7" xfId="0" applyFont="1" applyFill="1" applyBorder="1"/>
    <xf numFmtId="0" fontId="0" fillId="0" borderId="16" xfId="0" applyBorder="1"/>
    <xf numFmtId="0" fontId="0" fillId="0" borderId="9" xfId="0" applyBorder="1"/>
    <xf numFmtId="0" fontId="0" fillId="0" borderId="12" xfId="0" applyBorder="1"/>
    <xf numFmtId="0" fontId="1" fillId="0" borderId="6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11" fillId="0" borderId="1" xfId="1" applyFill="1" applyBorder="1"/>
    <xf numFmtId="0" fontId="3" fillId="0" borderId="1" xfId="0" applyFont="1" applyBorder="1"/>
    <xf numFmtId="0" fontId="0" fillId="0" borderId="0" xfId="0"/>
    <xf numFmtId="0" fontId="1" fillId="0" borderId="0" xfId="0" applyFo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/>
    </xf>
    <xf numFmtId="0" fontId="3" fillId="0" borderId="0" xfId="0" applyFont="1"/>
    <xf numFmtId="0" fontId="3" fillId="0" borderId="0" xfId="0" applyFont="1"/>
    <xf numFmtId="0" fontId="0" fillId="0" borderId="0" xfId="0" applyBorder="1" applyAlignment="1">
      <alignment horizontal="left"/>
    </xf>
    <xf numFmtId="0" fontId="0" fillId="0" borderId="0" xfId="0"/>
    <xf numFmtId="0" fontId="3" fillId="0" borderId="0" xfId="0" applyFont="1"/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0" fillId="0" borderId="0" xfId="0"/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3" fontId="3" fillId="0" borderId="1" xfId="0" applyNumberFormat="1" applyFont="1" applyFill="1" applyBorder="1" applyAlignmen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5" applyFont="1" applyBorder="1"/>
    <xf numFmtId="0" fontId="3" fillId="0" borderId="1" xfId="5" applyFont="1" applyBorder="1" applyAlignment="1">
      <alignment horizontal="center"/>
    </xf>
    <xf numFmtId="0" fontId="3" fillId="0" borderId="1" xfId="5" applyBorder="1" applyAlignment="1">
      <alignment horizontal="left"/>
    </xf>
    <xf numFmtId="0" fontId="18" fillId="0" borderId="1" xfId="5" applyFont="1" applyBorder="1"/>
    <xf numFmtId="1" fontId="3" fillId="0" borderId="1" xfId="5" applyNumberForma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3" fillId="0" borderId="1" xfId="5" applyFont="1" applyBorder="1" applyAlignment="1">
      <alignment horizontal="left" wrapText="1"/>
    </xf>
    <xf numFmtId="0" fontId="3" fillId="0" borderId="1" xfId="5" applyFont="1" applyBorder="1" applyAlignment="1">
      <alignment horizontal="left"/>
    </xf>
    <xf numFmtId="0" fontId="3" fillId="0" borderId="1" xfId="5" applyFont="1" applyBorder="1" applyAlignment="1">
      <alignment horizontal="center"/>
    </xf>
    <xf numFmtId="0" fontId="3" fillId="0" borderId="1" xfId="5" applyBorder="1" applyAlignment="1">
      <alignment horizontal="center"/>
    </xf>
    <xf numFmtId="0" fontId="3" fillId="0" borderId="1" xfId="5" applyBorder="1" applyAlignment="1">
      <alignment horizontal="left"/>
    </xf>
    <xf numFmtId="0" fontId="3" fillId="0" borderId="1" xfId="5" applyFont="1" applyBorder="1" applyAlignment="1">
      <alignment horizontal="center" vertical="center" wrapText="1"/>
    </xf>
    <xf numFmtId="0" fontId="3" fillId="0" borderId="1" xfId="5" applyFont="1" applyBorder="1" applyAlignment="1">
      <alignment horizontal="left" vertical="center" wrapText="1"/>
    </xf>
    <xf numFmtId="0" fontId="14" fillId="0" borderId="1" xfId="5" applyFont="1" applyBorder="1" applyAlignment="1">
      <alignment horizontal="left" vertical="center" wrapText="1"/>
    </xf>
    <xf numFmtId="0" fontId="14" fillId="0" borderId="1" xfId="5" applyFont="1" applyBorder="1" applyAlignment="1">
      <alignment horizontal="center" vertical="center" wrapText="1"/>
    </xf>
    <xf numFmtId="49" fontId="3" fillId="0" borderId="1" xfId="5" applyNumberFormat="1" applyFont="1" applyBorder="1" applyAlignment="1">
      <alignment horizontal="right" vertical="center"/>
    </xf>
    <xf numFmtId="0" fontId="3" fillId="0" borderId="1" xfId="5" applyBorder="1" applyAlignment="1">
      <alignment horizontal="left" vertical="center" wrapText="1"/>
    </xf>
    <xf numFmtId="0" fontId="3" fillId="0" borderId="1" xfId="5" applyFont="1" applyBorder="1" applyAlignment="1">
      <alignment horizontal="right" vertical="center" wrapText="1"/>
    </xf>
    <xf numFmtId="0" fontId="3" fillId="0" borderId="1" xfId="5" applyFont="1" applyBorder="1" applyAlignment="1">
      <alignment horizontal="left" vertical="center"/>
    </xf>
    <xf numFmtId="49" fontId="3" fillId="0" borderId="1" xfId="5" applyNumberFormat="1" applyFont="1" applyBorder="1" applyAlignment="1">
      <alignment horizontal="right" vertical="center" wrapText="1"/>
    </xf>
    <xf numFmtId="49" fontId="3" fillId="0" borderId="1" xfId="5" applyNumberFormat="1" applyFont="1" applyBorder="1" applyAlignment="1">
      <alignment horizontal="center" vertical="center" wrapText="1"/>
    </xf>
    <xf numFmtId="0" fontId="3" fillId="0" borderId="1" xfId="5" applyNumberFormat="1" applyFont="1" applyBorder="1" applyAlignment="1">
      <alignment horizontal="center" vertical="center" wrapText="1"/>
    </xf>
    <xf numFmtId="2" fontId="14" fillId="0" borderId="1" xfId="5" applyNumberFormat="1" applyFont="1" applyBorder="1" applyAlignment="1">
      <alignment horizontal="center" vertical="center" wrapText="1"/>
    </xf>
    <xf numFmtId="0" fontId="14" fillId="0" borderId="1" xfId="5" applyNumberFormat="1" applyFont="1" applyBorder="1" applyAlignment="1">
      <alignment horizontal="center" vertical="center" wrapText="1"/>
    </xf>
    <xf numFmtId="0" fontId="3" fillId="0" borderId="17" xfId="5" applyFont="1" applyBorder="1" applyAlignment="1">
      <alignment horizontal="left" vertical="center" wrapText="1"/>
    </xf>
    <xf numFmtId="0" fontId="3" fillId="0" borderId="1" xfId="5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0" borderId="1" xfId="5" applyBorder="1" applyAlignment="1">
      <alignment horizontal="left" wrapText="1"/>
    </xf>
    <xf numFmtId="0" fontId="0" fillId="0" borderId="1" xfId="0" applyBorder="1" applyAlignment="1">
      <alignment horizontal="right"/>
    </xf>
    <xf numFmtId="1" fontId="3" fillId="0" borderId="1" xfId="5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64" fontId="3" fillId="0" borderId="1" xfId="5" applyNumberFormat="1" applyBorder="1" applyAlignment="1">
      <alignment horizontal="right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7" fontId="0" fillId="0" borderId="1" xfId="0" applyNumberFormat="1" applyBorder="1" applyAlignment="1">
      <alignment horizontal="center" wrapText="1"/>
    </xf>
    <xf numFmtId="0" fontId="3" fillId="0" borderId="1" xfId="5" applyFont="1" applyBorder="1" applyAlignment="1">
      <alignment horizontal="center" wrapText="1"/>
    </xf>
    <xf numFmtId="0" fontId="3" fillId="0" borderId="1" xfId="5" applyBorder="1" applyAlignment="1">
      <alignment horizontal="center" wrapText="1"/>
    </xf>
    <xf numFmtId="165" fontId="0" fillId="0" borderId="1" xfId="0" applyNumberFormat="1" applyBorder="1" applyAlignment="1">
      <alignment horizontal="center" wrapText="1"/>
    </xf>
    <xf numFmtId="0" fontId="14" fillId="0" borderId="0" xfId="5" applyFont="1" applyAlignment="1">
      <alignment horizontal="center" vertical="center" wrapText="1"/>
    </xf>
    <xf numFmtId="0" fontId="3" fillId="0" borderId="0" xfId="5" applyFont="1" applyAlignment="1">
      <alignment horizontal="center" vertical="center" wrapText="1"/>
    </xf>
    <xf numFmtId="0" fontId="3" fillId="0" borderId="1" xfId="5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right" wrapText="1"/>
    </xf>
    <xf numFmtId="1" fontId="3" fillId="0" borderId="1" xfId="5" applyNumberFormat="1" applyBorder="1" applyAlignment="1">
      <alignment horizontal="right" wrapText="1"/>
    </xf>
    <xf numFmtId="1" fontId="0" fillId="0" borderId="0" xfId="0" applyNumberFormat="1" applyAlignment="1">
      <alignment horizontal="right" wrapText="1"/>
    </xf>
    <xf numFmtId="1" fontId="3" fillId="0" borderId="1" xfId="5" applyNumberFormat="1" applyFont="1" applyBorder="1" applyAlignment="1">
      <alignment horizontal="right" vertical="center" wrapText="1"/>
    </xf>
    <xf numFmtId="1" fontId="14" fillId="0" borderId="1" xfId="5" applyNumberFormat="1" applyFont="1" applyBorder="1" applyAlignment="1">
      <alignment horizontal="right" vertical="center" wrapText="1"/>
    </xf>
    <xf numFmtId="1" fontId="3" fillId="0" borderId="0" xfId="5" applyNumberFormat="1" applyFont="1" applyAlignment="1">
      <alignment horizontal="right" vertical="center" wrapText="1"/>
    </xf>
    <xf numFmtId="3" fontId="0" fillId="0" borderId="1" xfId="0" applyNumberFormat="1" applyBorder="1" applyAlignment="1">
      <alignment horizontal="center" wrapText="1"/>
    </xf>
    <xf numFmtId="3" fontId="3" fillId="0" borderId="1" xfId="0" applyNumberFormat="1" applyFont="1" applyBorder="1" applyAlignment="1">
      <alignment horizontal="center" wrapText="1"/>
    </xf>
    <xf numFmtId="3" fontId="3" fillId="0" borderId="1" xfId="5" applyNumberFormat="1" applyFont="1" applyBorder="1" applyAlignment="1">
      <alignment horizontal="center" wrapText="1"/>
    </xf>
    <xf numFmtId="3" fontId="3" fillId="0" borderId="1" xfId="5" applyNumberFormat="1" applyBorder="1" applyAlignment="1">
      <alignment horizontal="center" wrapText="1"/>
    </xf>
    <xf numFmtId="3" fontId="3" fillId="0" borderId="1" xfId="5" applyNumberFormat="1" applyFont="1" applyBorder="1" applyAlignment="1">
      <alignment horizontal="center" vertical="center" wrapText="1"/>
    </xf>
    <xf numFmtId="3" fontId="14" fillId="0" borderId="1" xfId="5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/>
    </xf>
    <xf numFmtId="1" fontId="3" fillId="0" borderId="1" xfId="5" applyNumberFormat="1" applyFont="1" applyBorder="1" applyAlignment="1">
      <alignment horizontal="right" vertical="center"/>
    </xf>
    <xf numFmtId="0" fontId="0" fillId="0" borderId="1" xfId="0" quotePrefix="1" applyBorder="1" applyAlignment="1">
      <alignment horizontal="left" vertical="center" wrapText="1"/>
    </xf>
    <xf numFmtId="0" fontId="18" fillId="0" borderId="1" xfId="5" applyFont="1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5" applyFont="1" applyBorder="1"/>
    <xf numFmtId="0" fontId="3" fillId="0" borderId="1" xfId="5" applyBorder="1" applyAlignment="1">
      <alignment horizontal="center"/>
    </xf>
    <xf numFmtId="0" fontId="3" fillId="0" borderId="2" xfId="5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5" applyBorder="1" applyAlignment="1">
      <alignment horizontal="right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0">
    <cellStyle name="Dziesiętny 2" xfId="8" xr:uid="{00000000-0005-0000-0000-000000000000}"/>
    <cellStyle name="Hiperłącze" xfId="1" builtinId="8"/>
    <cellStyle name="Hiperłącze 2" xfId="3" xr:uid="{00000000-0005-0000-0000-000002000000}"/>
    <cellStyle name="Hiperłącze 3" xfId="4" xr:uid="{00000000-0005-0000-0000-000003000000}"/>
    <cellStyle name="Hiperłącze 4" xfId="6" xr:uid="{00000000-0005-0000-0000-000004000000}"/>
    <cellStyle name="Hiperłącze 5" xfId="7" xr:uid="{00000000-0005-0000-0000-000005000000}"/>
    <cellStyle name="Normalny" xfId="0" builtinId="0"/>
    <cellStyle name="Normalny 2" xfId="2" xr:uid="{00000000-0005-0000-0000-000007000000}"/>
    <cellStyle name="Normalny 2 2" xfId="9" xr:uid="{57B18015-7D09-4BAE-99F9-C6CA8BD20742}"/>
    <cellStyle name="Normalny 3" xfId="5" xr:uid="{00000000-0005-0000-0000-000008000000}"/>
  </cellStyles>
  <dxfs count="12"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b/>
        <i val="0"/>
        <color theme="1"/>
      </font>
      <fill>
        <patternFill>
          <bgColor rgb="FFFF6161"/>
        </patternFill>
      </fill>
    </dxf>
  </dxfs>
  <tableStyles count="0" defaultTableStyle="TableStyleMedium9" defaultPivotStyle="PivotStyleLight16"/>
  <colors>
    <mruColors>
      <color rgb="FFFF5050"/>
      <color rgb="FFFF0066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18</xdr:row>
      <xdr:rowOff>76199</xdr:rowOff>
    </xdr:from>
    <xdr:to>
      <xdr:col>4</xdr:col>
      <xdr:colOff>1638299</xdr:colOff>
      <xdr:row>25</xdr:row>
      <xdr:rowOff>55246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ber\OneDrive\Pulpit\zwolnienia_marzec\PUP_Piaseczno_marzec_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ber\OneDrive\Pulpit\zwolnienia_marzec\PUP_m.Radom_marzec_2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ber\OneDrive\Pulpit\zwolnienia_marzec\PUP_Gostynin_marzec_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ber\OneDrive\Pulpit\zwolnienia_marzec\PUP_Nowy_Dw&#243;r_marzec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ber\OneDrive\Pulpit\zwolnienia_marzec\PUP_Ostro&#322;&#281;ka_marzec_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ber\OneDrive\Pulpit\zwolnienia_marzec\PUP_&#379;uromin_marzec_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zwolnienia_marzec/PUP_Gostynin_marzec_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e podstawowe"/>
      <sheetName val="Zgłoszenia w miesiącu"/>
      <sheetName val="Zgłoszenia na koniec miesiaca"/>
      <sheetName val="Zwolnienia"/>
      <sheetName val="Zwolnienia monitorowane"/>
      <sheetName val="listy"/>
      <sheetName val="Arkusz1"/>
      <sheetName val="Arkusz2"/>
    </sheetNames>
    <sheetDataSet>
      <sheetData sheetId="0">
        <row r="7">
          <cell r="D7" t="str">
            <v>piaseczyński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e podstawowe"/>
      <sheetName val="Zgłoszenia w miesiącu"/>
      <sheetName val="Zgłoszenia na koniec miesiaca"/>
      <sheetName val="Zwolnienia"/>
      <sheetName val="Zwolnienia monitorowane"/>
      <sheetName val="listy"/>
    </sheetNames>
    <sheetDataSet>
      <sheetData sheetId="0">
        <row r="7">
          <cell r="D7" t="str">
            <v>m. Radom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e podstawowe"/>
      <sheetName val="Zgłoszenia w miesiącu"/>
      <sheetName val="Zgłoszenia na koniec miesiaca"/>
      <sheetName val="Zwolnienia"/>
      <sheetName val="Zwolnienia monitorowane"/>
      <sheetName val="listy"/>
    </sheetNames>
    <sheetDataSet>
      <sheetData sheetId="0">
        <row r="7">
          <cell r="D7" t="str">
            <v>gostyniński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e podstawowe"/>
      <sheetName val="Zgłoszenia w miesiącu"/>
      <sheetName val="Zgłoszenia na koniec miesiaca"/>
      <sheetName val="Zwolnienia"/>
      <sheetName val="Zwolnienia monitorowane"/>
      <sheetName val="listy"/>
    </sheetNames>
    <sheetDataSet>
      <sheetData sheetId="0">
        <row r="7">
          <cell r="D7" t="str">
            <v>nowodworski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e podstawowe"/>
      <sheetName val="Zgłoszenia w miesiącu"/>
      <sheetName val="Zgłoszenia na koniec miesiaca"/>
      <sheetName val="Zwolnienia"/>
      <sheetName val="Zwolnienia monitorowane"/>
      <sheetName val="Arkusz1"/>
      <sheetName val="listy"/>
    </sheetNames>
    <sheetDataSet>
      <sheetData sheetId="0">
        <row r="7">
          <cell r="D7" t="str">
            <v>m. Ostrołęka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e podstawowe"/>
      <sheetName val="Zgłoszenia w miesiącu"/>
      <sheetName val="Zgłoszenia na koniec miesiaca"/>
      <sheetName val="Zwolnienia"/>
      <sheetName val="Zwolnienia monitorowane"/>
      <sheetName val="listy"/>
    </sheetNames>
    <sheetDataSet>
      <sheetData sheetId="0">
        <row r="7">
          <cell r="D7" t="str">
            <v>żuromiński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e podstawowe"/>
      <sheetName val="Zgłoszenia w miesiącu"/>
      <sheetName val="Zgłoszenia na koniec miesiaca"/>
      <sheetName val="Zwolnienia"/>
      <sheetName val="Zwolnienia monitorowane"/>
      <sheetName val="listy"/>
    </sheetNames>
    <sheetDataSet>
      <sheetData sheetId="0">
        <row r="7">
          <cell r="D7" t="str">
            <v>gostyniński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imsig.pl/krs/0000604132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msig.pl/krs/000060413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8"/>
  <sheetViews>
    <sheetView workbookViewId="0">
      <selection activeCell="D8" sqref="D8"/>
    </sheetView>
  </sheetViews>
  <sheetFormatPr defaultRowHeight="13.2" x14ac:dyDescent="0.25"/>
  <cols>
    <col min="2" max="2" width="6.88671875" customWidth="1"/>
    <col min="3" max="3" width="34.88671875" customWidth="1"/>
    <col min="4" max="4" width="45.88671875" customWidth="1"/>
    <col min="5" max="5" width="37.44140625" customWidth="1"/>
    <col min="6" max="6" width="30.5546875" customWidth="1"/>
    <col min="7" max="7" width="28.5546875" customWidth="1"/>
  </cols>
  <sheetData>
    <row r="2" spans="3:7" ht="15.6" x14ac:dyDescent="0.3">
      <c r="C2" s="23" t="s">
        <v>420</v>
      </c>
    </row>
    <row r="4" spans="3:7" ht="15.6" x14ac:dyDescent="0.3">
      <c r="C4" s="23" t="s">
        <v>394</v>
      </c>
    </row>
    <row r="5" spans="3:7" ht="13.8" thickBot="1" x14ac:dyDescent="0.3"/>
    <row r="6" spans="3:7" ht="39.75" customHeight="1" thickBot="1" x14ac:dyDescent="0.3">
      <c r="C6" s="24" t="s">
        <v>393</v>
      </c>
      <c r="D6" s="27" t="s">
        <v>403</v>
      </c>
    </row>
    <row r="7" spans="3:7" ht="39.75" customHeight="1" thickBot="1" x14ac:dyDescent="0.3">
      <c r="C7" s="24" t="s">
        <v>418</v>
      </c>
      <c r="D7" s="28" t="s">
        <v>423</v>
      </c>
      <c r="E7" s="22"/>
    </row>
    <row r="8" spans="3:7" ht="39.75" customHeight="1" thickBot="1" x14ac:dyDescent="0.3">
      <c r="C8" s="24" t="s">
        <v>419</v>
      </c>
      <c r="D8" s="43">
        <v>2020</v>
      </c>
      <c r="E8" s="39"/>
    </row>
    <row r="12" spans="3:7" x14ac:dyDescent="0.25">
      <c r="C12" s="12"/>
      <c r="D12" s="38"/>
      <c r="E12" s="13"/>
      <c r="F12" s="13"/>
      <c r="G12" s="14"/>
    </row>
    <row r="13" spans="3:7" ht="54" customHeight="1" x14ac:dyDescent="0.25">
      <c r="C13" s="29" t="s">
        <v>389</v>
      </c>
      <c r="D13" s="48" t="s">
        <v>438</v>
      </c>
      <c r="E13" s="47" t="s">
        <v>439</v>
      </c>
      <c r="F13" s="80">
        <v>602349485</v>
      </c>
      <c r="G13" s="15"/>
    </row>
    <row r="14" spans="3:7" x14ac:dyDescent="0.25">
      <c r="C14" s="16"/>
      <c r="D14" s="20" t="s">
        <v>391</v>
      </c>
      <c r="E14" s="20" t="s">
        <v>390</v>
      </c>
      <c r="F14" s="20" t="s">
        <v>392</v>
      </c>
      <c r="G14" s="15"/>
    </row>
    <row r="15" spans="3:7" x14ac:dyDescent="0.25">
      <c r="C15" s="17"/>
      <c r="D15" s="18"/>
      <c r="E15" s="18"/>
      <c r="F15" s="18"/>
      <c r="G15" s="19"/>
    </row>
    <row r="19" spans="3:5" x14ac:dyDescent="0.25">
      <c r="C19" s="36" t="s">
        <v>413</v>
      </c>
    </row>
    <row r="21" spans="3:5" x14ac:dyDescent="0.25">
      <c r="C21" s="156" t="s">
        <v>436</v>
      </c>
      <c r="D21" s="34"/>
    </row>
    <row r="22" spans="3:5" ht="25.8" x14ac:dyDescent="0.5">
      <c r="C22" s="156"/>
      <c r="D22" s="35" t="s">
        <v>414</v>
      </c>
      <c r="E22" s="11"/>
    </row>
    <row r="23" spans="3:5" ht="24" customHeight="1" x14ac:dyDescent="0.25">
      <c r="C23" s="156"/>
      <c r="E23" s="11"/>
    </row>
    <row r="24" spans="3:5" x14ac:dyDescent="0.25">
      <c r="C24" s="37"/>
    </row>
    <row r="25" spans="3:5" x14ac:dyDescent="0.25">
      <c r="C25" s="156" t="s">
        <v>417</v>
      </c>
    </row>
    <row r="26" spans="3:5" x14ac:dyDescent="0.25">
      <c r="C26" s="156"/>
    </row>
    <row r="27" spans="3:5" ht="23.25" customHeight="1" x14ac:dyDescent="0.25">
      <c r="C27" s="156"/>
    </row>
    <row r="28" spans="3:5" x14ac:dyDescent="0.25">
      <c r="C28" s="37"/>
    </row>
    <row r="29" spans="3:5" ht="12.75" customHeight="1" x14ac:dyDescent="0.25">
      <c r="C29" s="156" t="s">
        <v>415</v>
      </c>
    </row>
    <row r="30" spans="3:5" ht="12.75" customHeight="1" x14ac:dyDescent="0.25">
      <c r="C30" s="156"/>
    </row>
    <row r="31" spans="3:5" ht="21.75" customHeight="1" x14ac:dyDescent="0.25">
      <c r="C31" s="156"/>
    </row>
    <row r="32" spans="3:5" ht="14.25" customHeight="1" x14ac:dyDescent="0.25">
      <c r="C32" s="156"/>
    </row>
    <row r="33" spans="3:3" x14ac:dyDescent="0.25">
      <c r="C33" s="156"/>
    </row>
    <row r="34" spans="3:3" x14ac:dyDescent="0.25">
      <c r="C34" s="156"/>
    </row>
    <row r="36" spans="3:3" x14ac:dyDescent="0.25">
      <c r="C36" s="156" t="s">
        <v>416</v>
      </c>
    </row>
    <row r="37" spans="3:3" x14ac:dyDescent="0.25">
      <c r="C37" s="156"/>
    </row>
    <row r="38" spans="3:3" ht="19.5" customHeight="1" x14ac:dyDescent="0.25">
      <c r="C38" s="156"/>
    </row>
  </sheetData>
  <mergeCells count="4">
    <mergeCell ref="C36:C38"/>
    <mergeCell ref="C21:C23"/>
    <mergeCell ref="C25:C27"/>
    <mergeCell ref="C29:C34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allowBlank="1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J29"/>
  <sheetViews>
    <sheetView zoomScaleNormal="100" workbookViewId="0">
      <selection activeCell="I29" sqref="I29"/>
    </sheetView>
  </sheetViews>
  <sheetFormatPr defaultRowHeight="13.2" x14ac:dyDescent="0.25"/>
  <cols>
    <col min="2" max="2" width="24.88671875" customWidth="1"/>
    <col min="3" max="3" width="60.44140625" customWidth="1"/>
    <col min="4" max="4" width="16.44140625" customWidth="1"/>
    <col min="5" max="5" width="11.21875" style="151" customWidth="1"/>
    <col min="6" max="6" width="13.44140625" customWidth="1"/>
    <col min="7" max="7" width="22" customWidth="1"/>
  </cols>
  <sheetData>
    <row r="2" spans="1:10" x14ac:dyDescent="0.25">
      <c r="B2" s="9" t="s">
        <v>11</v>
      </c>
      <c r="C2" s="33" t="str">
        <f>'Dane podstawowe'!$D$6</f>
        <v>MAZOWIECKIE</v>
      </c>
      <c r="D2" s="33" t="str">
        <f>'Dane podstawowe'!$D$7</f>
        <v xml:space="preserve">Marzec </v>
      </c>
      <c r="E2" s="42">
        <f>'Dane podstawowe'!$D$8</f>
        <v>2020</v>
      </c>
      <c r="F2" s="40"/>
    </row>
    <row r="3" spans="1:10" x14ac:dyDescent="0.25">
      <c r="D3" s="11"/>
      <c r="E3" s="148"/>
    </row>
    <row r="4" spans="1:10" x14ac:dyDescent="0.25">
      <c r="B4" s="157" t="s">
        <v>395</v>
      </c>
      <c r="C4" s="157"/>
      <c r="D4" s="11"/>
      <c r="E4" s="149"/>
      <c r="F4" s="21"/>
      <c r="G4" s="21"/>
      <c r="I4" s="75"/>
    </row>
    <row r="5" spans="1:10" x14ac:dyDescent="0.25">
      <c r="D5" s="30"/>
      <c r="E5" s="150"/>
      <c r="F5" s="10"/>
      <c r="G5" s="10"/>
    </row>
    <row r="6" spans="1:10" x14ac:dyDescent="0.25">
      <c r="C6" s="3"/>
      <c r="D6" s="3"/>
    </row>
    <row r="7" spans="1:10" ht="45.75" customHeight="1" x14ac:dyDescent="0.25">
      <c r="B7" s="6" t="s">
        <v>9</v>
      </c>
      <c r="C7" s="7" t="s">
        <v>0</v>
      </c>
      <c r="D7" s="8" t="s">
        <v>10</v>
      </c>
      <c r="E7" s="54" t="s">
        <v>22</v>
      </c>
      <c r="F7" s="7" t="s">
        <v>1</v>
      </c>
      <c r="G7" s="7" t="s">
        <v>2</v>
      </c>
    </row>
    <row r="8" spans="1:10" x14ac:dyDescent="0.25">
      <c r="B8" s="158" t="s">
        <v>8</v>
      </c>
      <c r="C8" s="158"/>
      <c r="D8" s="158"/>
      <c r="E8" s="158"/>
      <c r="F8" s="158"/>
      <c r="G8" s="158"/>
    </row>
    <row r="9" spans="1:10" s="77" customFormat="1" x14ac:dyDescent="0.25">
      <c r="B9" s="81"/>
      <c r="C9" s="81"/>
      <c r="D9" s="81"/>
      <c r="E9" s="84"/>
      <c r="F9" s="81"/>
      <c r="G9" s="81"/>
    </row>
    <row r="10" spans="1:10" s="77" customFormat="1" ht="19.95" customHeight="1" x14ac:dyDescent="0.25">
      <c r="B10" s="79" t="str">
        <f>'[1]Dane podstawowe'!$D$7</f>
        <v>piaseczyński</v>
      </c>
      <c r="C10" s="91" t="s">
        <v>451</v>
      </c>
      <c r="D10" s="114" t="s">
        <v>452</v>
      </c>
      <c r="E10" s="84">
        <v>5242</v>
      </c>
      <c r="F10" s="81">
        <v>5</v>
      </c>
      <c r="G10" s="81" t="s">
        <v>453</v>
      </c>
      <c r="I10" s="81">
        <v>5</v>
      </c>
    </row>
    <row r="11" spans="1:10" s="77" customFormat="1" ht="19.95" customHeight="1" x14ac:dyDescent="0.25">
      <c r="B11" s="96" t="s">
        <v>172</v>
      </c>
      <c r="C11" s="92" t="s">
        <v>456</v>
      </c>
      <c r="D11" s="115">
        <v>38514934700000</v>
      </c>
      <c r="E11" s="94" t="s">
        <v>457</v>
      </c>
      <c r="F11" s="94">
        <v>90</v>
      </c>
      <c r="G11" s="94" t="s">
        <v>458</v>
      </c>
      <c r="I11" s="94">
        <v>90</v>
      </c>
    </row>
    <row r="12" spans="1:10" ht="19.95" customHeight="1" x14ac:dyDescent="0.25">
      <c r="A12" s="11"/>
      <c r="B12" s="96" t="s">
        <v>172</v>
      </c>
      <c r="C12" s="92" t="s">
        <v>459</v>
      </c>
      <c r="D12" s="115">
        <v>36968234400000</v>
      </c>
      <c r="E12" s="94" t="s">
        <v>460</v>
      </c>
      <c r="F12" s="111">
        <v>20</v>
      </c>
      <c r="G12" s="94" t="s">
        <v>458</v>
      </c>
      <c r="H12" s="11"/>
      <c r="I12" s="111">
        <v>20</v>
      </c>
      <c r="J12" s="11"/>
    </row>
    <row r="13" spans="1:10" ht="19.95" customHeight="1" x14ac:dyDescent="0.25">
      <c r="A13" s="11"/>
      <c r="B13" s="96" t="s">
        <v>172</v>
      </c>
      <c r="C13" s="92" t="s">
        <v>461</v>
      </c>
      <c r="D13" s="115">
        <v>38514934700000</v>
      </c>
      <c r="E13" s="94" t="s">
        <v>457</v>
      </c>
      <c r="F13" s="111">
        <v>41</v>
      </c>
      <c r="G13" s="94" t="s">
        <v>458</v>
      </c>
      <c r="H13" s="11"/>
      <c r="I13" s="111">
        <v>41</v>
      </c>
      <c r="J13" s="11"/>
    </row>
    <row r="14" spans="1:10" ht="19.95" customHeight="1" x14ac:dyDescent="0.25">
      <c r="A14" s="11"/>
      <c r="B14" s="96" t="s">
        <v>172</v>
      </c>
      <c r="C14" s="92" t="s">
        <v>462</v>
      </c>
      <c r="D14" s="115">
        <v>14114202100000</v>
      </c>
      <c r="E14" s="94" t="s">
        <v>463</v>
      </c>
      <c r="F14" s="111">
        <v>45</v>
      </c>
      <c r="G14" s="94" t="s">
        <v>464</v>
      </c>
      <c r="H14" s="11"/>
      <c r="I14" s="111">
        <v>45</v>
      </c>
      <c r="J14" s="11"/>
    </row>
    <row r="15" spans="1:10" ht="19.95" customHeight="1" x14ac:dyDescent="0.25">
      <c r="A15" s="11"/>
      <c r="B15" s="79" t="str">
        <f>'[2]Dane podstawowe'!$D$7</f>
        <v>m. Radom</v>
      </c>
      <c r="C15" s="112" t="s">
        <v>440</v>
      </c>
      <c r="D15" s="116">
        <v>671934409</v>
      </c>
      <c r="E15" s="85" t="s">
        <v>441</v>
      </c>
      <c r="F15" s="82">
        <v>35</v>
      </c>
      <c r="G15" s="83">
        <v>44012</v>
      </c>
      <c r="H15" s="11"/>
      <c r="I15" s="82">
        <v>35</v>
      </c>
      <c r="J15" s="11"/>
    </row>
    <row r="16" spans="1:10" ht="19.95" customHeight="1" x14ac:dyDescent="0.25">
      <c r="A16" s="11"/>
      <c r="B16" s="96" t="s">
        <v>190</v>
      </c>
      <c r="C16" s="92" t="s">
        <v>465</v>
      </c>
      <c r="D16" s="117">
        <v>1092812500000</v>
      </c>
      <c r="E16" s="94" t="s">
        <v>466</v>
      </c>
      <c r="F16" s="94">
        <v>1</v>
      </c>
      <c r="G16" s="111" t="s">
        <v>467</v>
      </c>
      <c r="H16" s="11"/>
      <c r="I16" s="94">
        <v>1</v>
      </c>
      <c r="J16" s="11"/>
    </row>
    <row r="17" spans="1:10" ht="19.95" customHeight="1" x14ac:dyDescent="0.25">
      <c r="A17" s="11"/>
      <c r="B17" s="96" t="s">
        <v>190</v>
      </c>
      <c r="C17" s="92" t="s">
        <v>465</v>
      </c>
      <c r="D17" s="117">
        <v>1092812500000</v>
      </c>
      <c r="E17" s="94" t="s">
        <v>466</v>
      </c>
      <c r="F17" s="111">
        <v>4</v>
      </c>
      <c r="G17" s="111" t="s">
        <v>468</v>
      </c>
      <c r="H17" s="11"/>
      <c r="I17" s="111">
        <v>4</v>
      </c>
      <c r="J17" s="11"/>
    </row>
    <row r="18" spans="1:10" ht="19.95" customHeight="1" x14ac:dyDescent="0.25">
      <c r="A18" s="11"/>
      <c r="B18" s="96" t="s">
        <v>190</v>
      </c>
      <c r="C18" s="113" t="s">
        <v>469</v>
      </c>
      <c r="D18" s="117">
        <v>1199488000000</v>
      </c>
      <c r="E18" s="146" t="s">
        <v>470</v>
      </c>
      <c r="F18" s="111">
        <v>5</v>
      </c>
      <c r="G18" s="94" t="s">
        <v>471</v>
      </c>
      <c r="H18" s="11"/>
      <c r="I18" s="111">
        <v>5</v>
      </c>
      <c r="J18" s="11"/>
    </row>
    <row r="19" spans="1:10" s="77" customFormat="1" ht="19.95" customHeight="1" x14ac:dyDescent="0.25">
      <c r="A19" s="74"/>
      <c r="B19" s="113" t="s">
        <v>192</v>
      </c>
      <c r="C19" s="145" t="s">
        <v>574</v>
      </c>
      <c r="D19" s="146">
        <v>16318511</v>
      </c>
      <c r="E19" s="146">
        <v>4771</v>
      </c>
      <c r="F19" s="147">
        <v>5</v>
      </c>
      <c r="G19" s="147" t="s">
        <v>575</v>
      </c>
      <c r="H19" s="74"/>
      <c r="I19" s="146">
        <v>5</v>
      </c>
      <c r="J19" s="74"/>
    </row>
    <row r="20" spans="1:10" ht="34.200000000000003" customHeight="1" x14ac:dyDescent="0.25">
      <c r="A20" s="11"/>
      <c r="B20" s="98" t="s">
        <v>191</v>
      </c>
      <c r="C20" s="98" t="s">
        <v>472</v>
      </c>
      <c r="D20" s="105" t="s">
        <v>473</v>
      </c>
      <c r="E20" s="121" t="s">
        <v>474</v>
      </c>
      <c r="F20" s="97">
        <v>47</v>
      </c>
      <c r="G20" s="97" t="s">
        <v>475</v>
      </c>
      <c r="H20" s="11"/>
      <c r="I20" s="97">
        <v>47</v>
      </c>
      <c r="J20" s="11"/>
    </row>
    <row r="21" spans="1:10" ht="19.95" customHeight="1" x14ac:dyDescent="0.25">
      <c r="A21" s="11"/>
      <c r="B21" s="98" t="s">
        <v>191</v>
      </c>
      <c r="C21" s="98" t="s">
        <v>476</v>
      </c>
      <c r="D21" s="103">
        <v>363808815</v>
      </c>
      <c r="E21" s="94" t="s">
        <v>477</v>
      </c>
      <c r="F21" s="97">
        <v>33</v>
      </c>
      <c r="G21" s="97" t="s">
        <v>478</v>
      </c>
      <c r="H21" s="11"/>
      <c r="I21" s="97">
        <v>33</v>
      </c>
      <c r="J21" s="11"/>
    </row>
    <row r="22" spans="1:10" ht="19.95" customHeight="1" x14ac:dyDescent="0.25">
      <c r="A22" s="11"/>
      <c r="B22" s="98" t="s">
        <v>191</v>
      </c>
      <c r="C22" s="98" t="s">
        <v>479</v>
      </c>
      <c r="D22" s="101" t="s">
        <v>480</v>
      </c>
      <c r="E22" s="94" t="s">
        <v>481</v>
      </c>
      <c r="F22" s="97" t="s">
        <v>573</v>
      </c>
      <c r="G22" s="97" t="s">
        <v>475</v>
      </c>
      <c r="H22" s="11"/>
      <c r="I22" s="97">
        <v>24</v>
      </c>
      <c r="J22" s="11"/>
    </row>
    <row r="23" spans="1:10" ht="19.95" customHeight="1" x14ac:dyDescent="0.25">
      <c r="A23" s="11"/>
      <c r="B23" s="98" t="s">
        <v>191</v>
      </c>
      <c r="C23" s="98" t="s">
        <v>483</v>
      </c>
      <c r="D23" s="101" t="s">
        <v>484</v>
      </c>
      <c r="E23" s="146" t="s">
        <v>485</v>
      </c>
      <c r="F23" s="97">
        <v>28</v>
      </c>
      <c r="G23" s="97" t="s">
        <v>475</v>
      </c>
      <c r="H23" s="11"/>
      <c r="I23" s="97">
        <v>28</v>
      </c>
      <c r="J23" s="11"/>
    </row>
    <row r="24" spans="1:10" ht="28.2" customHeight="1" x14ac:dyDescent="0.25">
      <c r="A24" s="11"/>
      <c r="B24" s="104" t="s">
        <v>191</v>
      </c>
      <c r="C24" s="98" t="s">
        <v>486</v>
      </c>
      <c r="D24" s="105" t="s">
        <v>487</v>
      </c>
      <c r="E24" s="121" t="s">
        <v>488</v>
      </c>
      <c r="F24" s="97">
        <v>39</v>
      </c>
      <c r="G24" s="97" t="s">
        <v>478</v>
      </c>
      <c r="H24" s="11"/>
      <c r="I24" s="97">
        <v>39</v>
      </c>
      <c r="J24" s="11"/>
    </row>
    <row r="25" spans="1:10" ht="19.95" customHeight="1" x14ac:dyDescent="0.25">
      <c r="A25" s="11"/>
      <c r="B25" s="104" t="s">
        <v>191</v>
      </c>
      <c r="C25" s="98" t="s">
        <v>489</v>
      </c>
      <c r="D25" s="101" t="s">
        <v>490</v>
      </c>
      <c r="E25" s="121" t="s">
        <v>491</v>
      </c>
      <c r="F25" s="97">
        <v>26</v>
      </c>
      <c r="G25" s="97" t="s">
        <v>475</v>
      </c>
      <c r="H25" s="11"/>
      <c r="I25" s="97">
        <v>26</v>
      </c>
      <c r="J25" s="11"/>
    </row>
    <row r="26" spans="1:10" ht="19.95" customHeight="1" x14ac:dyDescent="0.25">
      <c r="A26" s="11"/>
      <c r="B26" s="98" t="s">
        <v>191</v>
      </c>
      <c r="C26" s="98" t="s">
        <v>492</v>
      </c>
      <c r="D26" s="101">
        <v>368972318</v>
      </c>
      <c r="E26" s="121" t="s">
        <v>493</v>
      </c>
      <c r="F26" s="97">
        <v>25</v>
      </c>
      <c r="G26" s="97" t="s">
        <v>475</v>
      </c>
      <c r="H26" s="11"/>
      <c r="I26" s="97">
        <v>25</v>
      </c>
      <c r="J26" s="11"/>
    </row>
    <row r="27" spans="1:10" ht="19.95" customHeight="1" x14ac:dyDescent="0.25">
      <c r="A27" s="11"/>
      <c r="B27" s="98" t="s">
        <v>191</v>
      </c>
      <c r="C27" s="98" t="s">
        <v>494</v>
      </c>
      <c r="D27" s="101">
        <v>147315920</v>
      </c>
      <c r="E27" s="121" t="s">
        <v>495</v>
      </c>
      <c r="F27" s="97">
        <v>40</v>
      </c>
      <c r="G27" s="97" t="s">
        <v>475</v>
      </c>
      <c r="H27" s="11"/>
      <c r="I27" s="97">
        <v>40</v>
      </c>
      <c r="J27" s="11"/>
    </row>
    <row r="28" spans="1:10" ht="22.8" customHeight="1" x14ac:dyDescent="0.25">
      <c r="A28" s="11"/>
      <c r="B28" s="51"/>
      <c r="C28" s="11"/>
      <c r="D28" s="11"/>
      <c r="E28" s="73"/>
      <c r="F28" s="11"/>
      <c r="G28" s="11"/>
      <c r="H28" s="11"/>
      <c r="I28" s="81">
        <f>SUM(I10:I27)</f>
        <v>513</v>
      </c>
      <c r="J28" s="11"/>
    </row>
    <row r="29" spans="1:10" x14ac:dyDescent="0.25">
      <c r="A29" s="11"/>
      <c r="B29" s="11"/>
      <c r="C29" s="11"/>
      <c r="D29" s="11"/>
      <c r="E29" s="73"/>
      <c r="F29" s="11"/>
      <c r="G29" s="11"/>
      <c r="H29" s="11"/>
      <c r="I29" s="11"/>
      <c r="J29" s="11"/>
    </row>
  </sheetData>
  <mergeCells count="2">
    <mergeCell ref="B4:C4"/>
    <mergeCell ref="B8:G8"/>
  </mergeCells>
  <conditionalFormatting sqref="C2">
    <cfRule type="expression" dxfId="11" priority="3">
      <formula>$C$2=0</formula>
    </cfRule>
  </conditionalFormatting>
  <conditionalFormatting sqref="D2">
    <cfRule type="expression" dxfId="10" priority="2">
      <formula>$D$2=0</formula>
    </cfRule>
  </conditionalFormatting>
  <conditionalFormatting sqref="E2">
    <cfRule type="expression" dxfId="9" priority="1">
      <formula>$E$2=0</formula>
    </cfRule>
  </conditionalFormatting>
  <dataValidations disablePrompts="1" xWindow="227" yWindow="463" count="1">
    <dataValidation type="textLength" operator="equal" allowBlank="1" showInputMessage="1" showErrorMessage="1" prompt="Proszę wpisać REGON w formacie XXXXXXXXXXXXXX - 14 cyfrowy" sqref="D10 D17:D18 D20:D27 D12:D15" xr:uid="{00000000-0002-0000-0100-000000000000}">
      <formula1>14</formula1>
    </dataValidation>
  </dataValidations>
  <hyperlinks>
    <hyperlink ref="D21" r:id="rId1" display="https://www.imsig.pl/krs/0000604132" xr:uid="{00000000-0004-0000-0100-000000000000}"/>
  </hyperlinks>
  <pageMargins left="0.7" right="0.7" top="0.75" bottom="0.75" header="0.3" footer="0.3"/>
  <pageSetup paperSize="9" scale="81" orientation="landscape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I56"/>
  <sheetViews>
    <sheetView zoomScale="85" zoomScaleNormal="85" workbookViewId="0">
      <selection activeCell="I56" sqref="I56"/>
    </sheetView>
  </sheetViews>
  <sheetFormatPr defaultColWidth="9.109375" defaultRowHeight="13.2" x14ac:dyDescent="0.25"/>
  <cols>
    <col min="1" max="1" width="9.109375" style="56"/>
    <col min="2" max="2" width="24.88671875" style="56" customWidth="1"/>
    <col min="3" max="3" width="65.6640625" style="66" customWidth="1"/>
    <col min="4" max="4" width="24.33203125" style="62" customWidth="1"/>
    <col min="5" max="5" width="13.88671875" style="62" customWidth="1"/>
    <col min="6" max="6" width="22.109375" style="62" customWidth="1"/>
    <col min="7" max="7" width="24.33203125" style="62" customWidth="1"/>
    <col min="8" max="16384" width="9.109375" style="56"/>
  </cols>
  <sheetData>
    <row r="1" spans="2:9" x14ac:dyDescent="0.25">
      <c r="B1" s="52"/>
      <c r="C1" s="68"/>
      <c r="D1" s="61"/>
      <c r="E1" s="61"/>
      <c r="F1" s="61"/>
      <c r="G1" s="61"/>
    </row>
    <row r="2" spans="2:9" x14ac:dyDescent="0.25">
      <c r="B2" s="55" t="s">
        <v>11</v>
      </c>
      <c r="C2" s="67" t="s">
        <v>403</v>
      </c>
      <c r="D2" s="67" t="str">
        <f>'Dane podstawowe'!$D$7</f>
        <v xml:space="preserve">Marzec </v>
      </c>
      <c r="E2" s="64">
        <v>2020</v>
      </c>
      <c r="F2" s="63"/>
      <c r="G2" s="61"/>
    </row>
    <row r="3" spans="2:9" x14ac:dyDescent="0.25">
      <c r="B3" s="51"/>
      <c r="C3" s="65"/>
      <c r="E3" s="61"/>
      <c r="F3" s="61"/>
      <c r="G3" s="61"/>
    </row>
    <row r="4" spans="2:9" x14ac:dyDescent="0.25">
      <c r="B4" s="160" t="s">
        <v>396</v>
      </c>
      <c r="C4" s="160"/>
      <c r="D4" s="61"/>
    </row>
    <row r="5" spans="2:9" x14ac:dyDescent="0.25">
      <c r="B5" s="50"/>
      <c r="C5" s="69"/>
      <c r="D5" s="61"/>
    </row>
    <row r="7" spans="2:9" ht="44.25" customHeight="1" x14ac:dyDescent="0.25">
      <c r="B7" s="53" t="s">
        <v>9</v>
      </c>
      <c r="C7" s="54" t="s">
        <v>0</v>
      </c>
      <c r="D7" s="54" t="s">
        <v>10</v>
      </c>
      <c r="E7" s="54" t="s">
        <v>22</v>
      </c>
      <c r="F7" s="54" t="s">
        <v>1</v>
      </c>
      <c r="G7" s="54" t="s">
        <v>2</v>
      </c>
    </row>
    <row r="8" spans="2:9" s="57" customFormat="1" ht="19.5" customHeight="1" x14ac:dyDescent="0.25">
      <c r="B8" s="53"/>
      <c r="C8" s="54"/>
      <c r="D8" s="54"/>
      <c r="E8" s="54"/>
      <c r="F8" s="54"/>
      <c r="G8" s="54"/>
    </row>
    <row r="9" spans="2:9" ht="21" customHeight="1" x14ac:dyDescent="0.25">
      <c r="B9" s="159" t="s">
        <v>3</v>
      </c>
      <c r="C9" s="159"/>
      <c r="D9" s="159"/>
      <c r="E9" s="159"/>
      <c r="F9" s="159"/>
      <c r="G9" s="159"/>
    </row>
    <row r="10" spans="2:9" s="60" customFormat="1" ht="24.9" customHeight="1" x14ac:dyDescent="0.25"/>
    <row r="11" spans="2:9" s="60" customFormat="1" ht="19.95" customHeight="1" x14ac:dyDescent="0.25">
      <c r="B11" s="91" t="str">
        <f>'[3]Dane podstawowe'!$D$7</f>
        <v>gostyniński</v>
      </c>
      <c r="C11" s="91" t="s">
        <v>442</v>
      </c>
      <c r="D11" s="128">
        <v>14046491700000</v>
      </c>
      <c r="E11" s="127" t="s">
        <v>443</v>
      </c>
      <c r="F11" s="118">
        <v>1</v>
      </c>
      <c r="G11" s="118" t="s">
        <v>444</v>
      </c>
      <c r="I11" s="134">
        <v>1</v>
      </c>
    </row>
    <row r="12" spans="2:9" s="75" customFormat="1" ht="19.95" customHeight="1" x14ac:dyDescent="0.25">
      <c r="B12" s="91" t="str">
        <f>'[4]Dane podstawowe'!$D$7</f>
        <v>nowodworski</v>
      </c>
      <c r="C12" s="142" t="s">
        <v>445</v>
      </c>
      <c r="D12" s="128">
        <v>36231484400000</v>
      </c>
      <c r="E12" s="76" t="s">
        <v>446</v>
      </c>
      <c r="F12" s="119">
        <v>56</v>
      </c>
      <c r="G12" s="119" t="s">
        <v>447</v>
      </c>
      <c r="I12" s="135">
        <v>56</v>
      </c>
    </row>
    <row r="13" spans="2:9" s="60" customFormat="1" ht="19.95" customHeight="1" x14ac:dyDescent="0.25">
      <c r="B13" s="91" t="str">
        <f>'[5]Dane podstawowe'!$D$7</f>
        <v>m. Ostrołęka</v>
      </c>
      <c r="C13" s="91" t="s">
        <v>448</v>
      </c>
      <c r="D13" s="130">
        <v>550412627</v>
      </c>
      <c r="E13" s="127" t="s">
        <v>449</v>
      </c>
      <c r="F13" s="118">
        <v>130</v>
      </c>
      <c r="G13" s="120" t="s">
        <v>450</v>
      </c>
      <c r="I13" s="134">
        <v>130</v>
      </c>
    </row>
    <row r="14" spans="2:9" ht="19.95" customHeight="1" x14ac:dyDescent="0.25">
      <c r="B14" s="91" t="str">
        <f>'[1]Dane podstawowe'!$D$7</f>
        <v>piaseczyński</v>
      </c>
      <c r="C14" s="91" t="s">
        <v>451</v>
      </c>
      <c r="D14" s="128" t="s">
        <v>452</v>
      </c>
      <c r="E14" s="127">
        <v>5242</v>
      </c>
      <c r="F14" s="118">
        <v>5</v>
      </c>
      <c r="G14" s="118" t="s">
        <v>453</v>
      </c>
      <c r="I14" s="134">
        <v>5</v>
      </c>
    </row>
    <row r="15" spans="2:9" ht="19.95" customHeight="1" x14ac:dyDescent="0.25">
      <c r="B15" s="113" t="s">
        <v>172</v>
      </c>
      <c r="C15" s="92" t="s">
        <v>456</v>
      </c>
      <c r="D15" s="129">
        <v>38514934700000</v>
      </c>
      <c r="E15" s="97" t="s">
        <v>457</v>
      </c>
      <c r="F15" s="121">
        <v>90</v>
      </c>
      <c r="G15" s="121" t="s">
        <v>458</v>
      </c>
      <c r="I15" s="136">
        <v>90</v>
      </c>
    </row>
    <row r="16" spans="2:9" ht="19.95" customHeight="1" x14ac:dyDescent="0.25">
      <c r="B16" s="113" t="s">
        <v>172</v>
      </c>
      <c r="C16" s="92" t="s">
        <v>459</v>
      </c>
      <c r="D16" s="129">
        <v>36968234400000</v>
      </c>
      <c r="E16" s="97" t="s">
        <v>460</v>
      </c>
      <c r="F16" s="122">
        <v>20</v>
      </c>
      <c r="G16" s="121" t="s">
        <v>458</v>
      </c>
      <c r="I16" s="137">
        <v>20</v>
      </c>
    </row>
    <row r="17" spans="2:9" ht="19.95" customHeight="1" x14ac:dyDescent="0.25">
      <c r="B17" s="113" t="s">
        <v>172</v>
      </c>
      <c r="C17" s="92" t="s">
        <v>461</v>
      </c>
      <c r="D17" s="129">
        <v>38514934700000</v>
      </c>
      <c r="E17" s="97" t="s">
        <v>457</v>
      </c>
      <c r="F17" s="122">
        <v>41</v>
      </c>
      <c r="G17" s="121" t="s">
        <v>458</v>
      </c>
      <c r="I17" s="137">
        <v>41</v>
      </c>
    </row>
    <row r="18" spans="2:9" ht="19.95" customHeight="1" x14ac:dyDescent="0.25">
      <c r="B18" s="113" t="s">
        <v>172</v>
      </c>
      <c r="C18" s="92" t="s">
        <v>462</v>
      </c>
      <c r="D18" s="129">
        <v>14114202100000</v>
      </c>
      <c r="E18" s="97" t="s">
        <v>463</v>
      </c>
      <c r="F18" s="122">
        <v>45</v>
      </c>
      <c r="G18" s="121" t="s">
        <v>464</v>
      </c>
      <c r="I18" s="137">
        <v>45</v>
      </c>
    </row>
    <row r="19" spans="2:9" ht="19.95" customHeight="1" x14ac:dyDescent="0.25">
      <c r="B19" s="91" t="str">
        <f>'[2]Dane podstawowe'!$D$7</f>
        <v>m. Radom</v>
      </c>
      <c r="C19" s="112" t="s">
        <v>440</v>
      </c>
      <c r="D19" s="128">
        <v>671934409</v>
      </c>
      <c r="E19" s="76" t="s">
        <v>441</v>
      </c>
      <c r="F19" s="119">
        <v>35</v>
      </c>
      <c r="G19" s="123">
        <v>44012</v>
      </c>
      <c r="I19" s="135">
        <v>35</v>
      </c>
    </row>
    <row r="20" spans="2:9" ht="19.95" customHeight="1" x14ac:dyDescent="0.25">
      <c r="B20" s="113" t="s">
        <v>190</v>
      </c>
      <c r="C20" s="92" t="s">
        <v>465</v>
      </c>
      <c r="D20" s="129">
        <v>1092812500000</v>
      </c>
      <c r="E20" s="97" t="s">
        <v>466</v>
      </c>
      <c r="F20" s="122">
        <v>4</v>
      </c>
      <c r="G20" s="121" t="s">
        <v>468</v>
      </c>
      <c r="I20" s="137">
        <v>4</v>
      </c>
    </row>
    <row r="21" spans="2:9" ht="19.95" customHeight="1" x14ac:dyDescent="0.25">
      <c r="B21" s="113" t="s">
        <v>190</v>
      </c>
      <c r="C21" s="113" t="s">
        <v>469</v>
      </c>
      <c r="D21" s="129">
        <v>1199488000000</v>
      </c>
      <c r="E21" s="126" t="s">
        <v>470</v>
      </c>
      <c r="F21" s="122">
        <v>5</v>
      </c>
      <c r="G21" s="121" t="s">
        <v>471</v>
      </c>
      <c r="I21" s="137">
        <v>5</v>
      </c>
    </row>
    <row r="22" spans="2:9" s="75" customFormat="1" ht="19.95" customHeight="1" x14ac:dyDescent="0.25">
      <c r="B22" s="113" t="s">
        <v>192</v>
      </c>
      <c r="C22" s="145" t="s">
        <v>574</v>
      </c>
      <c r="D22" s="152">
        <v>16318511</v>
      </c>
      <c r="E22" s="146">
        <v>4771</v>
      </c>
      <c r="F22" s="147">
        <v>5</v>
      </c>
      <c r="G22" s="147" t="s">
        <v>575</v>
      </c>
      <c r="I22" s="137">
        <v>5</v>
      </c>
    </row>
    <row r="23" spans="2:9" s="75" customFormat="1" ht="19.95" customHeight="1" x14ac:dyDescent="0.25">
      <c r="B23" s="79" t="s">
        <v>185</v>
      </c>
      <c r="C23" s="79" t="s">
        <v>454</v>
      </c>
      <c r="D23" s="114">
        <v>130335607</v>
      </c>
      <c r="E23" s="144" t="s">
        <v>455</v>
      </c>
      <c r="F23" s="144">
        <v>8</v>
      </c>
      <c r="G23" s="144" t="s">
        <v>576</v>
      </c>
      <c r="I23" s="137">
        <v>8</v>
      </c>
    </row>
    <row r="24" spans="2:9" ht="40.049999999999997" customHeight="1" x14ac:dyDescent="0.25">
      <c r="B24" s="102" t="s">
        <v>191</v>
      </c>
      <c r="C24" s="98" t="s">
        <v>496</v>
      </c>
      <c r="D24" s="131" t="s">
        <v>497</v>
      </c>
      <c r="E24" s="97" t="s">
        <v>498</v>
      </c>
      <c r="F24" s="97">
        <v>18</v>
      </c>
      <c r="G24" s="97" t="s">
        <v>499</v>
      </c>
      <c r="I24" s="138">
        <v>18</v>
      </c>
    </row>
    <row r="25" spans="2:9" ht="40.049999999999997" customHeight="1" x14ac:dyDescent="0.25">
      <c r="B25" s="102" t="s">
        <v>191</v>
      </c>
      <c r="C25" s="98" t="s">
        <v>500</v>
      </c>
      <c r="D25" s="131">
        <v>16298263</v>
      </c>
      <c r="E25" s="97" t="s">
        <v>466</v>
      </c>
      <c r="F25" s="97" t="s">
        <v>501</v>
      </c>
      <c r="G25" s="97" t="s">
        <v>502</v>
      </c>
      <c r="I25" s="138">
        <v>608</v>
      </c>
    </row>
    <row r="26" spans="2:9" ht="40.049999999999997" customHeight="1" x14ac:dyDescent="0.25">
      <c r="B26" s="99" t="s">
        <v>191</v>
      </c>
      <c r="C26" s="99" t="s">
        <v>503</v>
      </c>
      <c r="D26" s="132" t="s">
        <v>504</v>
      </c>
      <c r="E26" s="100" t="s">
        <v>466</v>
      </c>
      <c r="F26" s="100" t="s">
        <v>505</v>
      </c>
      <c r="G26" s="100" t="s">
        <v>506</v>
      </c>
      <c r="I26" s="139">
        <v>584</v>
      </c>
    </row>
    <row r="27" spans="2:9" ht="40.049999999999997" customHeight="1" x14ac:dyDescent="0.25">
      <c r="B27" s="98" t="s">
        <v>191</v>
      </c>
      <c r="C27" s="98" t="s">
        <v>507</v>
      </c>
      <c r="D27" s="131">
        <v>10817199</v>
      </c>
      <c r="E27" s="106" t="s">
        <v>508</v>
      </c>
      <c r="F27" s="107">
        <v>84</v>
      </c>
      <c r="G27" s="97" t="s">
        <v>509</v>
      </c>
      <c r="I27" s="138">
        <v>84</v>
      </c>
    </row>
    <row r="28" spans="2:9" ht="40.049999999999997" customHeight="1" x14ac:dyDescent="0.25">
      <c r="B28" s="102" t="s">
        <v>191</v>
      </c>
      <c r="C28" s="99" t="s">
        <v>510</v>
      </c>
      <c r="D28" s="132" t="s">
        <v>511</v>
      </c>
      <c r="E28" s="124" t="s">
        <v>466</v>
      </c>
      <c r="F28" s="108" t="s">
        <v>512</v>
      </c>
      <c r="G28" s="100" t="s">
        <v>513</v>
      </c>
      <c r="I28" s="139">
        <v>514</v>
      </c>
    </row>
    <row r="29" spans="2:9" ht="40.049999999999997" customHeight="1" x14ac:dyDescent="0.25">
      <c r="B29" s="98" t="s">
        <v>191</v>
      </c>
      <c r="C29" s="98" t="s">
        <v>514</v>
      </c>
      <c r="D29" s="131">
        <v>15833145</v>
      </c>
      <c r="E29" s="107" t="s">
        <v>466</v>
      </c>
      <c r="F29" s="107">
        <v>36</v>
      </c>
      <c r="G29" s="97" t="s">
        <v>515</v>
      </c>
      <c r="I29" s="138">
        <v>36</v>
      </c>
    </row>
    <row r="30" spans="2:9" ht="40.049999999999997" customHeight="1" x14ac:dyDescent="0.25">
      <c r="B30" s="99" t="s">
        <v>191</v>
      </c>
      <c r="C30" s="99" t="s">
        <v>516</v>
      </c>
      <c r="D30" s="132" t="s">
        <v>517</v>
      </c>
      <c r="E30" s="100" t="s">
        <v>518</v>
      </c>
      <c r="F30" s="108" t="s">
        <v>519</v>
      </c>
      <c r="G30" s="100" t="s">
        <v>520</v>
      </c>
      <c r="I30" s="139">
        <v>294</v>
      </c>
    </row>
    <row r="31" spans="2:9" ht="40.049999999999997" customHeight="1" x14ac:dyDescent="0.25">
      <c r="B31" s="102" t="s">
        <v>191</v>
      </c>
      <c r="C31" s="98" t="s">
        <v>521</v>
      </c>
      <c r="D31" s="131">
        <v>2790450</v>
      </c>
      <c r="E31" s="97">
        <v>2811</v>
      </c>
      <c r="F31" s="106">
        <v>58</v>
      </c>
      <c r="G31" s="97" t="s">
        <v>522</v>
      </c>
      <c r="I31" s="138">
        <v>58</v>
      </c>
    </row>
    <row r="32" spans="2:9" ht="40.049999999999997" customHeight="1" x14ac:dyDescent="0.25">
      <c r="B32" s="99" t="s">
        <v>191</v>
      </c>
      <c r="C32" s="99" t="s">
        <v>523</v>
      </c>
      <c r="D32" s="132">
        <v>16262609</v>
      </c>
      <c r="E32" s="100" t="s">
        <v>474</v>
      </c>
      <c r="F32" s="109" t="s">
        <v>524</v>
      </c>
      <c r="G32" s="100" t="s">
        <v>522</v>
      </c>
      <c r="I32" s="139">
        <v>27</v>
      </c>
    </row>
    <row r="33" spans="2:9" ht="40.049999999999997" customHeight="1" x14ac:dyDescent="0.25">
      <c r="B33" s="98" t="s">
        <v>191</v>
      </c>
      <c r="C33" s="99" t="s">
        <v>525</v>
      </c>
      <c r="D33" s="132">
        <v>12100784</v>
      </c>
      <c r="E33" s="100">
        <v>6110</v>
      </c>
      <c r="F33" s="100" t="s">
        <v>526</v>
      </c>
      <c r="G33" s="99" t="s">
        <v>527</v>
      </c>
      <c r="I33" s="139">
        <v>1250</v>
      </c>
    </row>
    <row r="34" spans="2:9" ht="19.95" customHeight="1" x14ac:dyDescent="0.25">
      <c r="B34" s="98" t="s">
        <v>191</v>
      </c>
      <c r="C34" s="98" t="s">
        <v>528</v>
      </c>
      <c r="D34" s="131" t="s">
        <v>529</v>
      </c>
      <c r="E34" s="97" t="s">
        <v>530</v>
      </c>
      <c r="F34" s="97">
        <v>11</v>
      </c>
      <c r="G34" s="97" t="s">
        <v>531</v>
      </c>
      <c r="I34" s="138">
        <v>11</v>
      </c>
    </row>
    <row r="35" spans="2:9" ht="19.95" customHeight="1" x14ac:dyDescent="0.25">
      <c r="B35" s="98" t="s">
        <v>191</v>
      </c>
      <c r="C35" s="98" t="s">
        <v>532</v>
      </c>
      <c r="D35" s="131">
        <v>15206780</v>
      </c>
      <c r="E35" s="97" t="s">
        <v>533</v>
      </c>
      <c r="F35" s="97">
        <v>19</v>
      </c>
      <c r="G35" s="97" t="s">
        <v>534</v>
      </c>
      <c r="I35" s="138">
        <v>19</v>
      </c>
    </row>
    <row r="36" spans="2:9" ht="19.95" customHeight="1" x14ac:dyDescent="0.25">
      <c r="B36" s="98" t="s">
        <v>191</v>
      </c>
      <c r="C36" s="98" t="s">
        <v>535</v>
      </c>
      <c r="D36" s="133">
        <v>1379728</v>
      </c>
      <c r="E36" s="97" t="s">
        <v>466</v>
      </c>
      <c r="F36" s="97" t="s">
        <v>536</v>
      </c>
      <c r="G36" s="97" t="s">
        <v>534</v>
      </c>
      <c r="I36" s="138">
        <v>260</v>
      </c>
    </row>
    <row r="37" spans="2:9" ht="19.95" customHeight="1" x14ac:dyDescent="0.25">
      <c r="B37" s="98" t="s">
        <v>191</v>
      </c>
      <c r="C37" s="98" t="s">
        <v>537</v>
      </c>
      <c r="D37" s="131">
        <v>11994880</v>
      </c>
      <c r="E37" s="97" t="s">
        <v>470</v>
      </c>
      <c r="F37" s="97" t="s">
        <v>538</v>
      </c>
      <c r="G37" s="97" t="s">
        <v>534</v>
      </c>
      <c r="I37" s="138">
        <v>113</v>
      </c>
    </row>
    <row r="38" spans="2:9" ht="19.95" customHeight="1" x14ac:dyDescent="0.25">
      <c r="B38" s="98" t="s">
        <v>191</v>
      </c>
      <c r="C38" s="98" t="s">
        <v>539</v>
      </c>
      <c r="D38" s="131">
        <v>12765897</v>
      </c>
      <c r="E38" s="97" t="s">
        <v>540</v>
      </c>
      <c r="F38" s="97">
        <v>32</v>
      </c>
      <c r="G38" s="97" t="s">
        <v>541</v>
      </c>
      <c r="I38" s="138">
        <v>32</v>
      </c>
    </row>
    <row r="39" spans="2:9" ht="19.95" customHeight="1" x14ac:dyDescent="0.25">
      <c r="B39" s="98" t="s">
        <v>191</v>
      </c>
      <c r="C39" s="98" t="s">
        <v>542</v>
      </c>
      <c r="D39" s="131" t="s">
        <v>543</v>
      </c>
      <c r="E39" s="97" t="s">
        <v>466</v>
      </c>
      <c r="F39" s="97" t="s">
        <v>544</v>
      </c>
      <c r="G39" s="97" t="s">
        <v>541</v>
      </c>
      <c r="I39" s="138">
        <v>53</v>
      </c>
    </row>
    <row r="40" spans="2:9" ht="19.95" customHeight="1" x14ac:dyDescent="0.25">
      <c r="B40" s="98" t="s">
        <v>191</v>
      </c>
      <c r="C40" s="98" t="s">
        <v>545</v>
      </c>
      <c r="D40" s="131">
        <v>141990677</v>
      </c>
      <c r="E40" s="97" t="s">
        <v>546</v>
      </c>
      <c r="F40" s="97" t="s">
        <v>547</v>
      </c>
      <c r="G40" s="97" t="s">
        <v>534</v>
      </c>
      <c r="I40" s="138">
        <v>163</v>
      </c>
    </row>
    <row r="41" spans="2:9" ht="19.95" customHeight="1" x14ac:dyDescent="0.25">
      <c r="B41" s="98" t="s">
        <v>191</v>
      </c>
      <c r="C41" s="98" t="s">
        <v>548</v>
      </c>
      <c r="D41" s="131">
        <v>13036781</v>
      </c>
      <c r="E41" s="97" t="s">
        <v>549</v>
      </c>
      <c r="F41" s="97">
        <v>23</v>
      </c>
      <c r="G41" s="97" t="s">
        <v>541</v>
      </c>
      <c r="I41" s="138">
        <v>23</v>
      </c>
    </row>
    <row r="42" spans="2:9" ht="19.95" customHeight="1" x14ac:dyDescent="0.25">
      <c r="B42" s="98" t="s">
        <v>191</v>
      </c>
      <c r="C42" s="98" t="s">
        <v>550</v>
      </c>
      <c r="D42" s="131" t="s">
        <v>551</v>
      </c>
      <c r="E42" s="97" t="s">
        <v>552</v>
      </c>
      <c r="F42" s="97">
        <v>66</v>
      </c>
      <c r="G42" s="97" t="s">
        <v>553</v>
      </c>
      <c r="I42" s="138">
        <v>66</v>
      </c>
    </row>
    <row r="43" spans="2:9" ht="40.049999999999997" customHeight="1" x14ac:dyDescent="0.25">
      <c r="B43" s="98" t="s">
        <v>191</v>
      </c>
      <c r="C43" s="98" t="s">
        <v>500</v>
      </c>
      <c r="D43" s="131">
        <v>16298263</v>
      </c>
      <c r="E43" s="97" t="s">
        <v>466</v>
      </c>
      <c r="F43" s="97" t="s">
        <v>554</v>
      </c>
      <c r="G43" s="97" t="s">
        <v>555</v>
      </c>
      <c r="I43" s="138">
        <v>550</v>
      </c>
    </row>
    <row r="44" spans="2:9" ht="40.049999999999997" customHeight="1" x14ac:dyDescent="0.25">
      <c r="B44" s="99" t="s">
        <v>191</v>
      </c>
      <c r="C44" s="99" t="s">
        <v>556</v>
      </c>
      <c r="D44" s="132" t="s">
        <v>504</v>
      </c>
      <c r="E44" s="100" t="s">
        <v>466</v>
      </c>
      <c r="F44" s="100" t="s">
        <v>557</v>
      </c>
      <c r="G44" s="100" t="s">
        <v>558</v>
      </c>
      <c r="I44" s="139">
        <f>1200+ 1350</f>
        <v>2550</v>
      </c>
    </row>
    <row r="45" spans="2:9" ht="40.049999999999997" customHeight="1" x14ac:dyDescent="0.25">
      <c r="B45" s="98" t="s">
        <v>191</v>
      </c>
      <c r="C45" s="98" t="s">
        <v>559</v>
      </c>
      <c r="D45" s="131" t="s">
        <v>560</v>
      </c>
      <c r="E45" s="97" t="s">
        <v>466</v>
      </c>
      <c r="F45" s="97">
        <v>250</v>
      </c>
      <c r="G45" s="97" t="s">
        <v>561</v>
      </c>
      <c r="I45" s="138">
        <v>250</v>
      </c>
    </row>
    <row r="46" spans="2:9" ht="40.049999999999997" customHeight="1" x14ac:dyDescent="0.25">
      <c r="B46" s="99" t="s">
        <v>191</v>
      </c>
      <c r="C46" s="99" t="s">
        <v>562</v>
      </c>
      <c r="D46" s="132" t="s">
        <v>563</v>
      </c>
      <c r="E46" s="100">
        <v>6323</v>
      </c>
      <c r="F46" s="108" t="s">
        <v>564</v>
      </c>
      <c r="G46" s="100" t="s">
        <v>561</v>
      </c>
      <c r="I46" s="139">
        <v>255</v>
      </c>
    </row>
    <row r="47" spans="2:9" ht="19.95" customHeight="1" x14ac:dyDescent="0.25">
      <c r="B47" s="102" t="s">
        <v>191</v>
      </c>
      <c r="C47" s="98" t="s">
        <v>565</v>
      </c>
      <c r="D47" s="131">
        <v>145883234</v>
      </c>
      <c r="E47" s="97" t="s">
        <v>566</v>
      </c>
      <c r="F47" s="97">
        <v>40</v>
      </c>
      <c r="G47" s="97" t="s">
        <v>567</v>
      </c>
      <c r="I47" s="138">
        <v>40</v>
      </c>
    </row>
    <row r="48" spans="2:9" ht="32.4" customHeight="1" x14ac:dyDescent="0.25">
      <c r="B48" s="98" t="s">
        <v>191</v>
      </c>
      <c r="C48" s="98" t="s">
        <v>472</v>
      </c>
      <c r="D48" s="131" t="s">
        <v>473</v>
      </c>
      <c r="E48" s="97" t="s">
        <v>474</v>
      </c>
      <c r="F48" s="97">
        <v>47</v>
      </c>
      <c r="G48" s="97" t="s">
        <v>475</v>
      </c>
      <c r="I48" s="138">
        <v>47</v>
      </c>
    </row>
    <row r="49" spans="2:9" ht="19.95" customHeight="1" x14ac:dyDescent="0.25">
      <c r="B49" s="98" t="s">
        <v>191</v>
      </c>
      <c r="C49" s="110" t="s">
        <v>476</v>
      </c>
      <c r="D49" s="131">
        <v>363808815</v>
      </c>
      <c r="E49" s="125" t="s">
        <v>477</v>
      </c>
      <c r="F49" s="97">
        <v>33</v>
      </c>
      <c r="G49" s="97" t="s">
        <v>478</v>
      </c>
      <c r="I49" s="138">
        <v>33</v>
      </c>
    </row>
    <row r="50" spans="2:9" ht="27.6" customHeight="1" x14ac:dyDescent="0.25">
      <c r="B50" s="99" t="s">
        <v>191</v>
      </c>
      <c r="C50" s="98" t="s">
        <v>479</v>
      </c>
      <c r="D50" s="131" t="s">
        <v>480</v>
      </c>
      <c r="E50" s="97" t="s">
        <v>481</v>
      </c>
      <c r="F50" s="97" t="s">
        <v>482</v>
      </c>
      <c r="G50" s="97" t="s">
        <v>475</v>
      </c>
      <c r="I50" s="138">
        <v>24</v>
      </c>
    </row>
    <row r="51" spans="2:9" ht="19.95" customHeight="1" x14ac:dyDescent="0.25">
      <c r="B51" s="99" t="s">
        <v>191</v>
      </c>
      <c r="C51" s="98" t="s">
        <v>483</v>
      </c>
      <c r="D51" s="131" t="s">
        <v>484</v>
      </c>
      <c r="E51" s="126" t="s">
        <v>485</v>
      </c>
      <c r="F51" s="97">
        <v>28</v>
      </c>
      <c r="G51" s="97" t="s">
        <v>475</v>
      </c>
      <c r="I51" s="138">
        <v>28</v>
      </c>
    </row>
    <row r="52" spans="2:9" ht="35.4" customHeight="1" x14ac:dyDescent="0.25">
      <c r="B52" s="99" t="s">
        <v>191</v>
      </c>
      <c r="C52" s="98" t="s">
        <v>486</v>
      </c>
      <c r="D52" s="131" t="s">
        <v>487</v>
      </c>
      <c r="E52" s="97" t="s">
        <v>488</v>
      </c>
      <c r="F52" s="97">
        <v>39</v>
      </c>
      <c r="G52" s="97" t="s">
        <v>478</v>
      </c>
      <c r="I52" s="138">
        <v>39</v>
      </c>
    </row>
    <row r="53" spans="2:9" ht="19.95" customHeight="1" x14ac:dyDescent="0.25">
      <c r="B53" s="99" t="s">
        <v>191</v>
      </c>
      <c r="C53" s="98" t="s">
        <v>489</v>
      </c>
      <c r="D53" s="131" t="s">
        <v>490</v>
      </c>
      <c r="E53" s="97" t="s">
        <v>491</v>
      </c>
      <c r="F53" s="97">
        <v>26</v>
      </c>
      <c r="G53" s="97" t="s">
        <v>475</v>
      </c>
      <c r="I53" s="138">
        <v>26</v>
      </c>
    </row>
    <row r="54" spans="2:9" ht="19.95" customHeight="1" x14ac:dyDescent="0.25">
      <c r="B54" s="98" t="s">
        <v>191</v>
      </c>
      <c r="C54" s="98" t="s">
        <v>492</v>
      </c>
      <c r="D54" s="131">
        <v>368972318</v>
      </c>
      <c r="E54" s="97" t="s">
        <v>493</v>
      </c>
      <c r="F54" s="97">
        <v>25</v>
      </c>
      <c r="G54" s="97" t="s">
        <v>475</v>
      </c>
      <c r="I54" s="138">
        <v>25</v>
      </c>
    </row>
    <row r="55" spans="2:9" ht="19.95" customHeight="1" x14ac:dyDescent="0.25">
      <c r="B55" s="98" t="s">
        <v>191</v>
      </c>
      <c r="C55" s="98" t="s">
        <v>494</v>
      </c>
      <c r="D55" s="131">
        <v>147315920</v>
      </c>
      <c r="E55" s="97" t="s">
        <v>495</v>
      </c>
      <c r="F55" s="97">
        <v>40</v>
      </c>
      <c r="G55" s="97" t="s">
        <v>475</v>
      </c>
      <c r="I55" s="138">
        <v>40</v>
      </c>
    </row>
    <row r="56" spans="2:9" ht="25.2" customHeight="1" x14ac:dyDescent="0.25">
      <c r="I56" s="140">
        <f>SUM(I11:I55)</f>
        <v>8565</v>
      </c>
    </row>
  </sheetData>
  <mergeCells count="2">
    <mergeCell ref="B9:G9"/>
    <mergeCell ref="B4:C4"/>
  </mergeCells>
  <phoneticPr fontId="2" type="noConversion"/>
  <conditionalFormatting sqref="C2">
    <cfRule type="expression" dxfId="8" priority="3">
      <formula>$C$2=0</formula>
    </cfRule>
  </conditionalFormatting>
  <conditionalFormatting sqref="D2">
    <cfRule type="expression" dxfId="7" priority="2">
      <formula>$D$2=0</formula>
    </cfRule>
  </conditionalFormatting>
  <conditionalFormatting sqref="E2">
    <cfRule type="expression" dxfId="6" priority="1">
      <formula>$E$2=0</formula>
    </cfRule>
  </conditionalFormatting>
  <dataValidations xWindow="214" yWindow="749" count="1">
    <dataValidation type="textLength" operator="equal" allowBlank="1" showInputMessage="1" showErrorMessage="1" prompt="Proszę wpisać REGON w formacie XXXXXXXXXXXXXX - 14 cyfrowy" sqref="E15 D11:D12 D14 D19 D23" xr:uid="{00000000-0002-0000-0200-000000000000}">
      <formula1>14</formula1>
    </dataValidation>
  </dataValidations>
  <hyperlinks>
    <hyperlink ref="D49" r:id="rId1" display="https://www.imsig.pl/krs/0000604132" xr:uid="{00000000-0004-0000-0200-000000000000}"/>
  </hyperlinks>
  <pageMargins left="0.7" right="0.7" top="0.75" bottom="0.75" header="0.3" footer="0.3"/>
  <pageSetup paperSize="9" scale="79" orientation="landscape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H19"/>
  <sheetViews>
    <sheetView tabSelected="1" topLeftCell="A4" zoomScaleNormal="100" workbookViewId="0">
      <selection activeCell="I11" sqref="I11"/>
    </sheetView>
  </sheetViews>
  <sheetFormatPr defaultRowHeight="13.2" x14ac:dyDescent="0.25"/>
  <cols>
    <col min="2" max="2" width="21.5546875" customWidth="1"/>
    <col min="3" max="3" width="62.5546875" customWidth="1"/>
    <col min="4" max="4" width="21" customWidth="1"/>
    <col min="5" max="5" width="13.109375" customWidth="1"/>
    <col min="6" max="6" width="31.33203125" customWidth="1"/>
  </cols>
  <sheetData>
    <row r="1" spans="2:8" x14ac:dyDescent="0.25">
      <c r="E1" s="41"/>
    </row>
    <row r="2" spans="2:8" x14ac:dyDescent="0.25">
      <c r="B2" s="9" t="s">
        <v>11</v>
      </c>
      <c r="C2" s="33" t="str">
        <f>'Dane podstawowe'!$D$6</f>
        <v>MAZOWIECKIE</v>
      </c>
      <c r="D2" s="31" t="str">
        <f>'Dane podstawowe'!$D$7</f>
        <v xml:space="preserve">Marzec </v>
      </c>
      <c r="E2" s="33">
        <f>'Dane podstawowe'!D8</f>
        <v>2020</v>
      </c>
    </row>
    <row r="3" spans="2:8" x14ac:dyDescent="0.25">
      <c r="D3" s="32"/>
      <c r="E3" s="32"/>
    </row>
    <row r="4" spans="2:8" x14ac:dyDescent="0.25">
      <c r="B4" s="157" t="s">
        <v>433</v>
      </c>
      <c r="C4" s="160"/>
      <c r="D4" s="11"/>
    </row>
    <row r="5" spans="2:8" x14ac:dyDescent="0.25">
      <c r="B5" s="2"/>
      <c r="C5" s="4"/>
      <c r="D5" s="30"/>
    </row>
    <row r="7" spans="2:8" ht="60.75" customHeight="1" x14ac:dyDescent="0.25">
      <c r="B7" s="6" t="s">
        <v>9</v>
      </c>
      <c r="C7" s="7" t="s">
        <v>0</v>
      </c>
      <c r="D7" s="7" t="s">
        <v>10</v>
      </c>
      <c r="E7" s="8" t="s">
        <v>22</v>
      </c>
      <c r="F7" s="7" t="s">
        <v>4</v>
      </c>
    </row>
    <row r="8" spans="2:8" x14ac:dyDescent="0.25">
      <c r="B8" s="161" t="s">
        <v>434</v>
      </c>
      <c r="C8" s="162"/>
      <c r="D8" s="162"/>
      <c r="E8" s="162"/>
      <c r="F8" s="163"/>
    </row>
    <row r="9" spans="2:8" s="59" customFormat="1" ht="30.6" customHeight="1" x14ac:dyDescent="0.25">
      <c r="B9" s="79" t="str">
        <f>'[4]Dane podstawowe'!$D$7</f>
        <v>nowodworski</v>
      </c>
      <c r="C9" s="142" t="s">
        <v>445</v>
      </c>
      <c r="D9" s="116">
        <v>36231484400000</v>
      </c>
      <c r="E9" s="82" t="s">
        <v>446</v>
      </c>
      <c r="F9" s="82">
        <v>56</v>
      </c>
      <c r="H9" s="82">
        <v>56</v>
      </c>
    </row>
    <row r="10" spans="2:8" ht="19.95" customHeight="1" x14ac:dyDescent="0.25">
      <c r="B10" s="79" t="str">
        <f>'[7]Dane podstawowe'!$D$7</f>
        <v>gostyniński</v>
      </c>
      <c r="C10" s="154" t="s">
        <v>442</v>
      </c>
      <c r="D10" s="154">
        <v>14046491700000</v>
      </c>
      <c r="E10" s="154" t="s">
        <v>443</v>
      </c>
      <c r="F10" s="154">
        <v>2</v>
      </c>
      <c r="G10" s="77"/>
      <c r="H10" s="155">
        <v>2</v>
      </c>
    </row>
    <row r="11" spans="2:8" ht="19.95" customHeight="1" x14ac:dyDescent="0.25">
      <c r="B11" s="96" t="s">
        <v>190</v>
      </c>
      <c r="C11" s="93" t="s">
        <v>465</v>
      </c>
      <c r="D11" s="115">
        <v>1092812500000</v>
      </c>
      <c r="E11" s="94" t="s">
        <v>466</v>
      </c>
      <c r="F11" s="95">
        <v>1</v>
      </c>
      <c r="H11" s="111">
        <v>1</v>
      </c>
    </row>
    <row r="12" spans="2:8" ht="19.95" customHeight="1" x14ac:dyDescent="0.25">
      <c r="B12" s="79" t="str">
        <f>'[6]Dane podstawowe'!$D$7</f>
        <v>żuromiński</v>
      </c>
      <c r="C12" s="78" t="s">
        <v>454</v>
      </c>
      <c r="D12" s="116">
        <v>130335607</v>
      </c>
      <c r="E12" s="81" t="s">
        <v>455</v>
      </c>
      <c r="F12" s="81">
        <v>1</v>
      </c>
      <c r="H12" s="81">
        <v>1</v>
      </c>
    </row>
    <row r="13" spans="2:8" ht="31.8" customHeight="1" x14ac:dyDescent="0.25">
      <c r="B13" s="98" t="s">
        <v>191</v>
      </c>
      <c r="C13" s="98" t="s">
        <v>516</v>
      </c>
      <c r="D13" s="131" t="s">
        <v>517</v>
      </c>
      <c r="E13" s="121" t="s">
        <v>518</v>
      </c>
      <c r="F13" s="107">
        <v>28</v>
      </c>
      <c r="H13" s="107">
        <v>28</v>
      </c>
    </row>
    <row r="14" spans="2:8" ht="19.95" customHeight="1" x14ac:dyDescent="0.25">
      <c r="B14" s="98" t="s">
        <v>191</v>
      </c>
      <c r="C14" s="98" t="s">
        <v>568</v>
      </c>
      <c r="D14" s="131">
        <v>362856893</v>
      </c>
      <c r="E14" s="121" t="s">
        <v>569</v>
      </c>
      <c r="F14" s="107">
        <v>47</v>
      </c>
      <c r="H14" s="107">
        <v>47</v>
      </c>
    </row>
    <row r="15" spans="2:8" ht="19.95" customHeight="1" x14ac:dyDescent="0.25">
      <c r="B15" s="98" t="s">
        <v>191</v>
      </c>
      <c r="C15" s="98" t="s">
        <v>532</v>
      </c>
      <c r="D15" s="131">
        <v>15206780</v>
      </c>
      <c r="E15" s="121" t="s">
        <v>533</v>
      </c>
      <c r="F15" s="97">
        <v>3</v>
      </c>
      <c r="H15" s="97">
        <v>3</v>
      </c>
    </row>
    <row r="16" spans="2:8" ht="19.95" customHeight="1" x14ac:dyDescent="0.25">
      <c r="B16" s="98" t="s">
        <v>191</v>
      </c>
      <c r="C16" s="98" t="s">
        <v>542</v>
      </c>
      <c r="D16" s="141" t="s">
        <v>543</v>
      </c>
      <c r="E16" s="94" t="s">
        <v>466</v>
      </c>
      <c r="F16" s="97">
        <v>111</v>
      </c>
      <c r="H16" s="97">
        <v>111</v>
      </c>
    </row>
    <row r="17" spans="2:8" ht="19.95" customHeight="1" x14ac:dyDescent="0.25">
      <c r="B17" s="98" t="s">
        <v>191</v>
      </c>
      <c r="C17" s="98" t="s">
        <v>570</v>
      </c>
      <c r="D17" s="141" t="s">
        <v>571</v>
      </c>
      <c r="E17" s="94" t="s">
        <v>572</v>
      </c>
      <c r="F17" s="97">
        <v>22</v>
      </c>
      <c r="H17" s="97">
        <v>22</v>
      </c>
    </row>
    <row r="18" spans="2:8" ht="23.4" customHeight="1" x14ac:dyDescent="0.25">
      <c r="B18" s="98" t="s">
        <v>191</v>
      </c>
      <c r="C18" s="98" t="s">
        <v>548</v>
      </c>
      <c r="D18" s="141">
        <v>13036781</v>
      </c>
      <c r="E18" s="94" t="s">
        <v>549</v>
      </c>
      <c r="F18" s="97">
        <v>9</v>
      </c>
      <c r="H18" s="97">
        <v>9</v>
      </c>
    </row>
    <row r="19" spans="2:8" x14ac:dyDescent="0.25">
      <c r="H19" s="153">
        <f>SUM(H9:H18)</f>
        <v>280</v>
      </c>
    </row>
  </sheetData>
  <mergeCells count="2">
    <mergeCell ref="B4:C4"/>
    <mergeCell ref="B8:F8"/>
  </mergeCells>
  <conditionalFormatting sqref="C2">
    <cfRule type="expression" dxfId="5" priority="3">
      <formula>$C$2=0</formula>
    </cfRule>
  </conditionalFormatting>
  <conditionalFormatting sqref="D2">
    <cfRule type="expression" dxfId="4" priority="2">
      <formula>$D$2=0</formula>
    </cfRule>
  </conditionalFormatting>
  <conditionalFormatting sqref="E2">
    <cfRule type="expression" dxfId="3" priority="1">
      <formula>$E$2=0</formula>
    </cfRule>
  </conditionalFormatting>
  <dataValidations xWindow="201" yWindow="871" count="1">
    <dataValidation type="textLength" operator="equal" allowBlank="1" showInputMessage="1" showErrorMessage="1" prompt="Proszę wpisać REGON w formacie XXXXXXXXXXXXXX - 14 cyfrowy" sqref="D12 D9 D10" xr:uid="{27A79DB7-4411-4B74-BE2E-C768D7CE4957}">
      <formula1>14</formula1>
    </dataValidation>
  </dataValidations>
  <pageMargins left="0.70866141732283472" right="0.70866141732283472" top="0.74803149606299213" bottom="0.74803149606299213" header="0.31496062992125984" footer="0.31496062992125984"/>
  <pageSetup paperSize="9" scale="8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26"/>
  <sheetViews>
    <sheetView zoomScale="85" zoomScaleNormal="85" workbookViewId="0">
      <selection activeCell="J9" sqref="J9:J13"/>
    </sheetView>
  </sheetViews>
  <sheetFormatPr defaultRowHeight="13.2" x14ac:dyDescent="0.25"/>
  <cols>
    <col min="2" max="2" width="21.109375" customWidth="1"/>
    <col min="3" max="3" width="49.21875" customWidth="1"/>
    <col min="4" max="4" width="21.5546875" customWidth="1"/>
    <col min="5" max="5" width="14.6640625" customWidth="1"/>
    <col min="6" max="6" width="18.6640625" customWidth="1"/>
    <col min="7" max="7" width="28.33203125" customWidth="1"/>
    <col min="8" max="8" width="19.6640625" customWidth="1"/>
  </cols>
  <sheetData>
    <row r="1" spans="1:16" x14ac:dyDescent="0.25">
      <c r="E1" s="41"/>
    </row>
    <row r="2" spans="1:16" x14ac:dyDescent="0.25">
      <c r="B2" s="9" t="s">
        <v>11</v>
      </c>
      <c r="C2" s="33" t="str">
        <f>'Dane podstawowe'!$D$6</f>
        <v>MAZOWIECKIE</v>
      </c>
      <c r="D2" s="31" t="str">
        <f>'Dane podstawowe'!$D$7</f>
        <v xml:space="preserve">Marzec </v>
      </c>
      <c r="E2" s="33">
        <f>'Dane podstawowe'!D8</f>
        <v>2020</v>
      </c>
    </row>
    <row r="3" spans="1:16" x14ac:dyDescent="0.25">
      <c r="D3" s="32"/>
      <c r="E3" s="32"/>
    </row>
    <row r="4" spans="1:16" x14ac:dyDescent="0.25">
      <c r="B4" s="44" t="s">
        <v>437</v>
      </c>
      <c r="C4" s="46"/>
      <c r="D4" s="45"/>
      <c r="E4" s="21"/>
    </row>
    <row r="5" spans="1:16" x14ac:dyDescent="0.25">
      <c r="B5" s="2"/>
      <c r="C5" s="5"/>
      <c r="D5" s="30"/>
      <c r="E5" s="2"/>
    </row>
    <row r="6" spans="1:16" x14ac:dyDescent="0.25">
      <c r="B6" s="1"/>
    </row>
    <row r="7" spans="1:16" ht="46.5" customHeight="1" x14ac:dyDescent="0.25">
      <c r="B7" s="6" t="s">
        <v>9</v>
      </c>
      <c r="C7" s="7" t="s">
        <v>0</v>
      </c>
      <c r="D7" s="7" t="s">
        <v>10</v>
      </c>
      <c r="E7" s="8" t="s">
        <v>22</v>
      </c>
      <c r="F7" s="7" t="s">
        <v>5</v>
      </c>
      <c r="G7" s="7" t="s">
        <v>6</v>
      </c>
      <c r="H7" s="7" t="s">
        <v>7</v>
      </c>
    </row>
    <row r="8" spans="1:16" x14ac:dyDescent="0.25">
      <c r="B8" s="161" t="s">
        <v>435</v>
      </c>
      <c r="C8" s="162"/>
      <c r="D8" s="162"/>
      <c r="E8" s="162"/>
      <c r="F8" s="162"/>
      <c r="G8" s="162"/>
      <c r="H8" s="163"/>
    </row>
    <row r="9" spans="1:16" s="49" customFormat="1" ht="19.95" customHeight="1" x14ac:dyDescent="0.25">
      <c r="B9" s="88"/>
      <c r="C9" s="93"/>
      <c r="D9" s="90"/>
      <c r="E9" s="86"/>
      <c r="F9" s="87"/>
      <c r="G9" s="87"/>
      <c r="H9" s="89"/>
      <c r="J9" s="94"/>
    </row>
    <row r="10" spans="1:16" ht="19.95" customHeight="1" x14ac:dyDescent="0.25">
      <c r="B10" s="88"/>
      <c r="C10" s="143"/>
      <c r="D10" s="90"/>
      <c r="E10" s="86"/>
      <c r="F10" s="87"/>
      <c r="G10" s="87"/>
      <c r="H10" s="89"/>
      <c r="J10" s="94"/>
    </row>
    <row r="11" spans="1:16" ht="19.95" customHeight="1" x14ac:dyDescent="0.25">
      <c r="B11" s="88"/>
      <c r="C11" s="93"/>
      <c r="D11" s="90"/>
      <c r="E11" s="86"/>
      <c r="F11" s="87"/>
      <c r="G11" s="87"/>
      <c r="H11" s="89"/>
      <c r="J11" s="94"/>
    </row>
    <row r="12" spans="1:16" ht="19.95" customHeight="1" x14ac:dyDescent="0.25">
      <c r="A12" s="74"/>
      <c r="B12" s="88"/>
      <c r="C12" s="93"/>
      <c r="D12" s="90"/>
      <c r="E12" s="86"/>
      <c r="F12" s="87"/>
      <c r="G12" s="87"/>
      <c r="H12" s="87"/>
      <c r="I12" s="74"/>
      <c r="J12" s="94"/>
      <c r="K12" s="74"/>
      <c r="L12" s="74"/>
      <c r="M12" s="74"/>
      <c r="N12" s="74"/>
      <c r="O12" s="74"/>
      <c r="P12" s="74"/>
    </row>
    <row r="13" spans="1:16" ht="19.95" customHeight="1" x14ac:dyDescent="0.25">
      <c r="A13" s="74"/>
      <c r="B13" s="58"/>
      <c r="C13" s="70"/>
      <c r="D13" s="73"/>
      <c r="E13" s="71"/>
      <c r="F13" s="70"/>
      <c r="G13" s="72"/>
      <c r="H13" s="71"/>
      <c r="I13" s="74"/>
      <c r="J13" s="81"/>
      <c r="K13" s="74"/>
      <c r="L13" s="74"/>
      <c r="M13" s="74"/>
      <c r="N13" s="74"/>
      <c r="O13" s="74"/>
      <c r="P13" s="74"/>
    </row>
    <row r="14" spans="1:16" x14ac:dyDescent="0.25">
      <c r="A14" s="74"/>
      <c r="B14" s="58"/>
      <c r="C14" s="70"/>
      <c r="D14" s="73"/>
      <c r="E14" s="71"/>
      <c r="F14" s="70"/>
      <c r="G14" s="72"/>
      <c r="H14" s="71"/>
      <c r="I14" s="74"/>
      <c r="J14" s="74"/>
      <c r="K14" s="74"/>
      <c r="L14" s="74"/>
      <c r="M14" s="74"/>
      <c r="N14" s="74"/>
      <c r="O14" s="74"/>
      <c r="P14" s="74"/>
    </row>
    <row r="15" spans="1:16" x14ac:dyDescent="0.25">
      <c r="A15" s="74"/>
      <c r="B15" s="58"/>
      <c r="C15" s="70"/>
      <c r="D15" s="73"/>
      <c r="E15" s="71"/>
      <c r="F15" s="70"/>
      <c r="G15" s="72"/>
      <c r="H15" s="71"/>
      <c r="I15" s="74"/>
      <c r="J15" s="74"/>
      <c r="K15" s="74"/>
      <c r="L15" s="74"/>
      <c r="M15" s="74"/>
      <c r="N15" s="74"/>
      <c r="O15" s="74"/>
      <c r="P15" s="74"/>
    </row>
    <row r="16" spans="1:16" x14ac:dyDescent="0.25">
      <c r="A16" s="74"/>
      <c r="B16" s="58"/>
      <c r="C16" s="70"/>
      <c r="D16" s="73"/>
      <c r="E16" s="71"/>
      <c r="F16" s="70"/>
      <c r="G16" s="72"/>
      <c r="H16" s="71"/>
      <c r="I16" s="74"/>
      <c r="J16" s="74"/>
      <c r="K16" s="74"/>
      <c r="L16" s="74"/>
      <c r="M16" s="74"/>
      <c r="N16" s="74"/>
      <c r="O16" s="74"/>
      <c r="P16" s="74"/>
    </row>
    <row r="17" spans="1:16" x14ac:dyDescent="0.25">
      <c r="A17" s="74"/>
      <c r="B17" s="58"/>
      <c r="C17" s="70"/>
      <c r="D17" s="73"/>
      <c r="E17" s="71"/>
      <c r="F17" s="70"/>
      <c r="G17" s="72"/>
      <c r="H17" s="71"/>
      <c r="I17" s="74"/>
      <c r="J17" s="74"/>
      <c r="K17" s="74"/>
      <c r="L17" s="74"/>
      <c r="M17" s="74"/>
      <c r="N17" s="74"/>
      <c r="O17" s="74"/>
      <c r="P17" s="74"/>
    </row>
    <row r="18" spans="1:16" x14ac:dyDescent="0.25">
      <c r="A18" s="74"/>
      <c r="B18" s="58"/>
      <c r="C18" s="70"/>
      <c r="D18" s="73"/>
      <c r="E18" s="71"/>
      <c r="F18" s="70"/>
      <c r="G18" s="72"/>
      <c r="H18" s="71"/>
      <c r="I18" s="74"/>
      <c r="J18" s="74"/>
      <c r="K18" s="74"/>
      <c r="L18" s="74"/>
      <c r="M18" s="74"/>
      <c r="N18" s="74"/>
      <c r="O18" s="74"/>
      <c r="P18" s="74"/>
    </row>
    <row r="19" spans="1:16" x14ac:dyDescent="0.25">
      <c r="A19" s="74"/>
      <c r="B19" s="58"/>
      <c r="C19" s="70"/>
      <c r="D19" s="73"/>
      <c r="E19" s="71"/>
      <c r="F19" s="70"/>
      <c r="G19" s="72"/>
      <c r="H19" s="71"/>
      <c r="I19" s="74"/>
      <c r="J19" s="74"/>
      <c r="K19" s="74"/>
      <c r="L19" s="74"/>
      <c r="M19" s="74"/>
      <c r="N19" s="74"/>
      <c r="O19" s="74"/>
      <c r="P19" s="74"/>
    </row>
    <row r="20" spans="1:16" x14ac:dyDescent="0.25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</row>
    <row r="21" spans="1:16" x14ac:dyDescent="0.25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</row>
    <row r="22" spans="1:16" x14ac:dyDescent="0.25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</row>
    <row r="23" spans="1:16" x14ac:dyDescent="0.25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</row>
    <row r="24" spans="1:16" x14ac:dyDescent="0.25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</row>
    <row r="25" spans="1:16" x14ac:dyDescent="0.25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</row>
    <row r="26" spans="1:16" x14ac:dyDescent="0.25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</row>
  </sheetData>
  <mergeCells count="1">
    <mergeCell ref="B8:H8"/>
  </mergeCells>
  <phoneticPr fontId="2" type="noConversion"/>
  <conditionalFormatting sqref="C2">
    <cfRule type="expression" dxfId="2" priority="3">
      <formula>$C$2=0</formula>
    </cfRule>
  </conditionalFormatting>
  <conditionalFormatting sqref="D2">
    <cfRule type="expression" dxfId="1" priority="2">
      <formula>$D$2=0</formula>
    </cfRule>
  </conditionalFormatting>
  <conditionalFormatting sqref="E2">
    <cfRule type="expression" dxfId="0" priority="1">
      <formula>$E$2=0</formula>
    </cfRule>
  </conditionalFormatting>
  <dataValidations count="1">
    <dataValidation type="textLength" operator="equal" allowBlank="1" showInputMessage="1" showErrorMessage="1" prompt="Proszę wpisać REGON w formacie XXXXXXXXXXXXXX - 14 cyfrowy" sqref="D10:D19" xr:uid="{00000000-0002-0000-0400-000000000000}">
      <formula1>14</formula1>
    </dataValidation>
  </dataValidations>
  <pageMargins left="0.25" right="0.25" top="0.75" bottom="0.75" header="0.3" footer="0.3"/>
  <pageSetup paperSize="9" scale="8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43"/>
  <sheetViews>
    <sheetView workbookViewId="0">
      <selection activeCell="T18" sqref="T18"/>
    </sheetView>
  </sheetViews>
  <sheetFormatPr defaultRowHeight="13.2" x14ac:dyDescent="0.25"/>
  <cols>
    <col min="1" max="2" width="17.44140625" customWidth="1"/>
    <col min="3" max="3" width="13.6640625" customWidth="1"/>
    <col min="4" max="4" width="16.33203125" customWidth="1"/>
    <col min="5" max="5" width="16.88671875" customWidth="1"/>
    <col min="6" max="6" width="14.6640625" customWidth="1"/>
    <col min="7" max="7" width="16.33203125" customWidth="1"/>
    <col min="8" max="8" width="12.5546875" customWidth="1"/>
    <col min="20" max="20" width="18.109375" style="26" customWidth="1"/>
  </cols>
  <sheetData>
    <row r="1" spans="1:21" x14ac:dyDescent="0.25">
      <c r="A1" t="s">
        <v>400</v>
      </c>
      <c r="B1" t="s">
        <v>397</v>
      </c>
      <c r="C1" t="s">
        <v>398</v>
      </c>
      <c r="D1" t="s">
        <v>399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  <c r="M1" t="s">
        <v>409</v>
      </c>
      <c r="N1" t="s">
        <v>410</v>
      </c>
      <c r="O1" t="s">
        <v>411</v>
      </c>
      <c r="P1" t="s">
        <v>412</v>
      </c>
      <c r="R1">
        <v>1</v>
      </c>
      <c r="S1" t="s">
        <v>23</v>
      </c>
      <c r="T1" s="25" t="s">
        <v>421</v>
      </c>
      <c r="U1">
        <v>2019</v>
      </c>
    </row>
    <row r="2" spans="1:21" x14ac:dyDescent="0.25">
      <c r="A2" t="s">
        <v>12</v>
      </c>
      <c r="B2" t="s">
        <v>45</v>
      </c>
      <c r="C2" t="s">
        <v>68</v>
      </c>
      <c r="D2" t="s">
        <v>91</v>
      </c>
      <c r="E2" t="s">
        <v>105</v>
      </c>
      <c r="F2" t="s">
        <v>129</v>
      </c>
      <c r="G2" t="s">
        <v>151</v>
      </c>
      <c r="H2" t="s">
        <v>130</v>
      </c>
      <c r="I2" t="s">
        <v>204</v>
      </c>
      <c r="J2" t="s">
        <v>229</v>
      </c>
      <c r="K2" t="s">
        <v>246</v>
      </c>
      <c r="L2" t="s">
        <v>265</v>
      </c>
      <c r="M2" t="s">
        <v>300</v>
      </c>
      <c r="N2" t="s">
        <v>314</v>
      </c>
      <c r="O2" t="s">
        <v>335</v>
      </c>
      <c r="P2" t="s">
        <v>368</v>
      </c>
      <c r="R2">
        <v>2</v>
      </c>
      <c r="S2" t="s">
        <v>24</v>
      </c>
      <c r="T2" s="25" t="s">
        <v>422</v>
      </c>
      <c r="U2">
        <v>2020</v>
      </c>
    </row>
    <row r="3" spans="1:21" x14ac:dyDescent="0.25">
      <c r="A3" t="s">
        <v>13</v>
      </c>
      <c r="B3" t="s">
        <v>46</v>
      </c>
      <c r="C3" t="s">
        <v>69</v>
      </c>
      <c r="D3" t="s">
        <v>92</v>
      </c>
      <c r="E3" t="s">
        <v>106</v>
      </c>
      <c r="F3" t="s">
        <v>130</v>
      </c>
      <c r="G3" t="s">
        <v>152</v>
      </c>
      <c r="H3" t="s">
        <v>193</v>
      </c>
      <c r="I3" t="s">
        <v>205</v>
      </c>
      <c r="J3" t="s">
        <v>230</v>
      </c>
      <c r="K3" t="s">
        <v>247</v>
      </c>
      <c r="L3" t="s">
        <v>231</v>
      </c>
      <c r="M3" t="s">
        <v>301</v>
      </c>
      <c r="N3" t="s">
        <v>315</v>
      </c>
      <c r="O3" t="s">
        <v>336</v>
      </c>
      <c r="P3" t="s">
        <v>369</v>
      </c>
      <c r="T3" s="25" t="s">
        <v>423</v>
      </c>
      <c r="U3">
        <v>2021</v>
      </c>
    </row>
    <row r="4" spans="1:21" x14ac:dyDescent="0.25">
      <c r="A4" t="s">
        <v>14</v>
      </c>
      <c r="B4" t="s">
        <v>47</v>
      </c>
      <c r="C4" t="s">
        <v>70</v>
      </c>
      <c r="D4" t="s">
        <v>93</v>
      </c>
      <c r="E4" t="s">
        <v>107</v>
      </c>
      <c r="F4" t="s">
        <v>131</v>
      </c>
      <c r="G4" t="s">
        <v>153</v>
      </c>
      <c r="H4" t="s">
        <v>194</v>
      </c>
      <c r="I4" t="s">
        <v>206</v>
      </c>
      <c r="J4" t="s">
        <v>231</v>
      </c>
      <c r="K4" t="s">
        <v>248</v>
      </c>
      <c r="L4" t="s">
        <v>266</v>
      </c>
      <c r="M4" t="s">
        <v>302</v>
      </c>
      <c r="N4" t="s">
        <v>316</v>
      </c>
      <c r="O4" t="s">
        <v>337</v>
      </c>
      <c r="P4" t="s">
        <v>370</v>
      </c>
      <c r="T4" s="25" t="s">
        <v>424</v>
      </c>
      <c r="U4">
        <v>2022</v>
      </c>
    </row>
    <row r="5" spans="1:21" x14ac:dyDescent="0.25">
      <c r="A5" t="s">
        <v>15</v>
      </c>
      <c r="B5" t="s">
        <v>48</v>
      </c>
      <c r="C5" t="s">
        <v>71</v>
      </c>
      <c r="D5" t="s">
        <v>94</v>
      </c>
      <c r="E5" t="s">
        <v>108</v>
      </c>
      <c r="F5" t="s">
        <v>132</v>
      </c>
      <c r="G5" t="s">
        <v>154</v>
      </c>
      <c r="H5" t="s">
        <v>195</v>
      </c>
      <c r="I5" t="s">
        <v>207</v>
      </c>
      <c r="J5" t="s">
        <v>232</v>
      </c>
      <c r="K5" t="s">
        <v>249</v>
      </c>
      <c r="L5" t="s">
        <v>267</v>
      </c>
      <c r="M5" t="s">
        <v>303</v>
      </c>
      <c r="N5" t="s">
        <v>317</v>
      </c>
      <c r="O5" t="s">
        <v>338</v>
      </c>
      <c r="P5" t="s">
        <v>371</v>
      </c>
      <c r="T5" s="25" t="s">
        <v>425</v>
      </c>
      <c r="U5">
        <v>2023</v>
      </c>
    </row>
    <row r="6" spans="1:21" x14ac:dyDescent="0.25">
      <c r="A6" t="s">
        <v>16</v>
      </c>
      <c r="B6" t="s">
        <v>49</v>
      </c>
      <c r="C6" t="s">
        <v>72</v>
      </c>
      <c r="D6" t="s">
        <v>95</v>
      </c>
      <c r="E6" t="s">
        <v>109</v>
      </c>
      <c r="F6" t="s">
        <v>133</v>
      </c>
      <c r="G6" t="s">
        <v>155</v>
      </c>
      <c r="H6" t="s">
        <v>196</v>
      </c>
      <c r="I6" t="s">
        <v>208</v>
      </c>
      <c r="J6" t="s">
        <v>233</v>
      </c>
      <c r="K6" t="s">
        <v>250</v>
      </c>
      <c r="L6" t="s">
        <v>268</v>
      </c>
      <c r="M6" t="s">
        <v>304</v>
      </c>
      <c r="N6" t="s">
        <v>318</v>
      </c>
      <c r="O6" t="s">
        <v>155</v>
      </c>
      <c r="P6" t="s">
        <v>372</v>
      </c>
      <c r="T6" s="25" t="s">
        <v>426</v>
      </c>
      <c r="U6">
        <v>2024</v>
      </c>
    </row>
    <row r="7" spans="1:21" x14ac:dyDescent="0.25">
      <c r="A7" t="s">
        <v>17</v>
      </c>
      <c r="B7" t="s">
        <v>50</v>
      </c>
      <c r="C7" t="s">
        <v>73</v>
      </c>
      <c r="D7" t="s">
        <v>96</v>
      </c>
      <c r="E7" t="s">
        <v>125</v>
      </c>
      <c r="F7" t="s">
        <v>134</v>
      </c>
      <c r="G7" t="s">
        <v>156</v>
      </c>
      <c r="H7" t="s">
        <v>197</v>
      </c>
      <c r="I7" t="s">
        <v>209</v>
      </c>
      <c r="J7" t="s">
        <v>234</v>
      </c>
      <c r="K7" t="s">
        <v>251</v>
      </c>
      <c r="L7" t="s">
        <v>269</v>
      </c>
      <c r="M7" t="s">
        <v>305</v>
      </c>
      <c r="N7" t="s">
        <v>319</v>
      </c>
      <c r="O7" t="s">
        <v>339</v>
      </c>
      <c r="P7" t="s">
        <v>373</v>
      </c>
      <c r="T7" s="25" t="s">
        <v>427</v>
      </c>
      <c r="U7">
        <v>2025</v>
      </c>
    </row>
    <row r="8" spans="1:21" x14ac:dyDescent="0.25">
      <c r="A8" t="s">
        <v>18</v>
      </c>
      <c r="B8" t="s">
        <v>51</v>
      </c>
      <c r="C8" t="s">
        <v>74</v>
      </c>
      <c r="D8" t="s">
        <v>97</v>
      </c>
      <c r="E8" t="s">
        <v>110</v>
      </c>
      <c r="F8" t="s">
        <v>135</v>
      </c>
      <c r="G8" t="s">
        <v>157</v>
      </c>
      <c r="H8" t="s">
        <v>198</v>
      </c>
      <c r="I8" t="s">
        <v>210</v>
      </c>
      <c r="J8" t="s">
        <v>235</v>
      </c>
      <c r="K8" t="s">
        <v>252</v>
      </c>
      <c r="L8" t="s">
        <v>270</v>
      </c>
      <c r="M8" t="s">
        <v>306</v>
      </c>
      <c r="N8" t="s">
        <v>320</v>
      </c>
      <c r="O8" t="s">
        <v>340</v>
      </c>
      <c r="P8" t="s">
        <v>374</v>
      </c>
      <c r="T8" s="25" t="s">
        <v>428</v>
      </c>
      <c r="U8">
        <v>2026</v>
      </c>
    </row>
    <row r="9" spans="1:21" x14ac:dyDescent="0.25">
      <c r="A9" t="s">
        <v>19</v>
      </c>
      <c r="B9" t="s">
        <v>52</v>
      </c>
      <c r="C9" t="s">
        <v>75</v>
      </c>
      <c r="D9" t="s">
        <v>98</v>
      </c>
      <c r="E9" t="s">
        <v>111</v>
      </c>
      <c r="F9" t="s">
        <v>136</v>
      </c>
      <c r="G9" t="s">
        <v>158</v>
      </c>
      <c r="H9" t="s">
        <v>199</v>
      </c>
      <c r="I9" t="s">
        <v>211</v>
      </c>
      <c r="J9" t="s">
        <v>236</v>
      </c>
      <c r="K9" t="s">
        <v>253</v>
      </c>
      <c r="L9" t="s">
        <v>271</v>
      </c>
      <c r="M9" t="s">
        <v>307</v>
      </c>
      <c r="N9" t="s">
        <v>321</v>
      </c>
      <c r="O9" t="s">
        <v>341</v>
      </c>
      <c r="P9" t="s">
        <v>375</v>
      </c>
      <c r="T9" s="25" t="s">
        <v>429</v>
      </c>
      <c r="U9">
        <v>2027</v>
      </c>
    </row>
    <row r="10" spans="1:21" x14ac:dyDescent="0.25">
      <c r="A10" t="s">
        <v>20</v>
      </c>
      <c r="B10" t="s">
        <v>53</v>
      </c>
      <c r="C10" t="s">
        <v>76</v>
      </c>
      <c r="D10" t="s">
        <v>99</v>
      </c>
      <c r="E10" t="s">
        <v>112</v>
      </c>
      <c r="F10" t="s">
        <v>137</v>
      </c>
      <c r="G10" t="s">
        <v>159</v>
      </c>
      <c r="H10" t="s">
        <v>200</v>
      </c>
      <c r="I10" t="s">
        <v>212</v>
      </c>
      <c r="J10" t="s">
        <v>237</v>
      </c>
      <c r="K10" t="s">
        <v>254</v>
      </c>
      <c r="L10" t="s">
        <v>272</v>
      </c>
      <c r="M10" t="s">
        <v>308</v>
      </c>
      <c r="N10" t="s">
        <v>322</v>
      </c>
      <c r="O10" t="s">
        <v>342</v>
      </c>
      <c r="P10" t="s">
        <v>376</v>
      </c>
      <c r="T10" s="25" t="s">
        <v>430</v>
      </c>
      <c r="U10">
        <v>2028</v>
      </c>
    </row>
    <row r="11" spans="1:21" x14ac:dyDescent="0.25">
      <c r="A11" t="s">
        <v>21</v>
      </c>
      <c r="B11" t="s">
        <v>54</v>
      </c>
      <c r="C11" t="s">
        <v>77</v>
      </c>
      <c r="D11" t="s">
        <v>100</v>
      </c>
      <c r="E11" t="s">
        <v>113</v>
      </c>
      <c r="F11" t="s">
        <v>138</v>
      </c>
      <c r="G11" t="s">
        <v>160</v>
      </c>
      <c r="H11" t="s">
        <v>201</v>
      </c>
      <c r="I11" t="s">
        <v>213</v>
      </c>
      <c r="J11" t="s">
        <v>238</v>
      </c>
      <c r="K11" t="s">
        <v>164</v>
      </c>
      <c r="L11" t="s">
        <v>273</v>
      </c>
      <c r="M11" t="s">
        <v>309</v>
      </c>
      <c r="N11" t="s">
        <v>323</v>
      </c>
      <c r="O11" t="s">
        <v>343</v>
      </c>
      <c r="P11" t="s">
        <v>377</v>
      </c>
      <c r="T11" s="25" t="s">
        <v>431</v>
      </c>
      <c r="U11">
        <v>2029</v>
      </c>
    </row>
    <row r="12" spans="1:21" x14ac:dyDescent="0.25">
      <c r="A12" t="s">
        <v>25</v>
      </c>
      <c r="B12" t="s">
        <v>55</v>
      </c>
      <c r="C12" t="s">
        <v>78</v>
      </c>
      <c r="D12" t="s">
        <v>101</v>
      </c>
      <c r="E12" t="s">
        <v>114</v>
      </c>
      <c r="F12" t="s">
        <v>139</v>
      </c>
      <c r="G12" t="s">
        <v>161</v>
      </c>
      <c r="H12" t="s">
        <v>202</v>
      </c>
      <c r="I12" t="s">
        <v>214</v>
      </c>
      <c r="J12" t="s">
        <v>239</v>
      </c>
      <c r="K12" t="s">
        <v>255</v>
      </c>
      <c r="L12" t="s">
        <v>274</v>
      </c>
      <c r="M12" t="s">
        <v>310</v>
      </c>
      <c r="N12" t="s">
        <v>324</v>
      </c>
      <c r="O12" t="s">
        <v>344</v>
      </c>
      <c r="P12" t="s">
        <v>378</v>
      </c>
      <c r="T12" s="25" t="s">
        <v>432</v>
      </c>
      <c r="U12">
        <v>2030</v>
      </c>
    </row>
    <row r="13" spans="1:21" x14ac:dyDescent="0.25">
      <c r="A13" t="s">
        <v>26</v>
      </c>
      <c r="B13" t="s">
        <v>56</v>
      </c>
      <c r="C13" t="s">
        <v>79</v>
      </c>
      <c r="D13" t="s">
        <v>102</v>
      </c>
      <c r="E13" t="s">
        <v>115</v>
      </c>
      <c r="F13" t="s">
        <v>140</v>
      </c>
      <c r="G13" t="s">
        <v>162</v>
      </c>
      <c r="H13" t="s">
        <v>203</v>
      </c>
      <c r="I13" t="s">
        <v>215</v>
      </c>
      <c r="J13" t="s">
        <v>240</v>
      </c>
      <c r="K13" t="s">
        <v>256</v>
      </c>
      <c r="L13" t="s">
        <v>275</v>
      </c>
      <c r="M13" t="s">
        <v>311</v>
      </c>
      <c r="N13" t="s">
        <v>325</v>
      </c>
      <c r="O13" t="s">
        <v>345</v>
      </c>
      <c r="P13" t="s">
        <v>379</v>
      </c>
      <c r="U13">
        <v>2031</v>
      </c>
    </row>
    <row r="14" spans="1:21" x14ac:dyDescent="0.25">
      <c r="A14" t="s">
        <v>27</v>
      </c>
      <c r="B14" t="s">
        <v>57</v>
      </c>
      <c r="C14" t="s">
        <v>80</v>
      </c>
      <c r="D14" t="s">
        <v>103</v>
      </c>
      <c r="E14" t="s">
        <v>116</v>
      </c>
      <c r="F14" t="s">
        <v>141</v>
      </c>
      <c r="G14" t="s">
        <v>163</v>
      </c>
      <c r="I14" t="s">
        <v>216</v>
      </c>
      <c r="J14" t="s">
        <v>241</v>
      </c>
      <c r="K14" t="s">
        <v>257</v>
      </c>
      <c r="L14" t="s">
        <v>276</v>
      </c>
      <c r="M14" t="s">
        <v>312</v>
      </c>
      <c r="N14" t="s">
        <v>326</v>
      </c>
      <c r="O14" t="s">
        <v>346</v>
      </c>
      <c r="P14" t="s">
        <v>380</v>
      </c>
      <c r="U14">
        <v>2032</v>
      </c>
    </row>
    <row r="15" spans="1:21" x14ac:dyDescent="0.25">
      <c r="A15" t="s">
        <v>28</v>
      </c>
      <c r="B15" t="s">
        <v>58</v>
      </c>
      <c r="C15" t="s">
        <v>81</v>
      </c>
      <c r="D15" t="s">
        <v>104</v>
      </c>
      <c r="E15" t="s">
        <v>117</v>
      </c>
      <c r="F15" t="s">
        <v>142</v>
      </c>
      <c r="G15" t="s">
        <v>164</v>
      </c>
      <c r="I15" t="s">
        <v>217</v>
      </c>
      <c r="J15" t="s">
        <v>242</v>
      </c>
      <c r="K15" t="s">
        <v>258</v>
      </c>
      <c r="L15" t="s">
        <v>277</v>
      </c>
      <c r="M15" t="s">
        <v>313</v>
      </c>
      <c r="N15" t="s">
        <v>327</v>
      </c>
      <c r="O15" t="s">
        <v>347</v>
      </c>
      <c r="P15" t="s">
        <v>381</v>
      </c>
      <c r="U15">
        <v>2033</v>
      </c>
    </row>
    <row r="16" spans="1:21" x14ac:dyDescent="0.25">
      <c r="A16" t="s">
        <v>29</v>
      </c>
      <c r="B16" t="s">
        <v>59</v>
      </c>
      <c r="C16" t="s">
        <v>82</v>
      </c>
      <c r="E16" t="s">
        <v>118</v>
      </c>
      <c r="F16" t="s">
        <v>143</v>
      </c>
      <c r="G16" t="s">
        <v>165</v>
      </c>
      <c r="I16" t="s">
        <v>218</v>
      </c>
      <c r="J16" t="s">
        <v>243</v>
      </c>
      <c r="K16" t="s">
        <v>259</v>
      </c>
      <c r="L16" t="s">
        <v>278</v>
      </c>
      <c r="N16" t="s">
        <v>328</v>
      </c>
      <c r="O16" t="s">
        <v>348</v>
      </c>
      <c r="P16" t="s">
        <v>382</v>
      </c>
      <c r="U16">
        <v>2034</v>
      </c>
    </row>
    <row r="17" spans="1:21" x14ac:dyDescent="0.25">
      <c r="A17" t="s">
        <v>30</v>
      </c>
      <c r="B17" t="s">
        <v>60</v>
      </c>
      <c r="C17" t="s">
        <v>83</v>
      </c>
      <c r="E17" t="s">
        <v>119</v>
      </c>
      <c r="F17" t="s">
        <v>144</v>
      </c>
      <c r="G17" t="s">
        <v>166</v>
      </c>
      <c r="I17" t="s">
        <v>219</v>
      </c>
      <c r="J17" t="s">
        <v>244</v>
      </c>
      <c r="K17" t="s">
        <v>260</v>
      </c>
      <c r="L17" t="s">
        <v>279</v>
      </c>
      <c r="N17" t="s">
        <v>329</v>
      </c>
      <c r="O17" t="s">
        <v>349</v>
      </c>
      <c r="P17" t="s">
        <v>383</v>
      </c>
      <c r="U17">
        <v>2035</v>
      </c>
    </row>
    <row r="18" spans="1:21" x14ac:dyDescent="0.25">
      <c r="A18" t="s">
        <v>31</v>
      </c>
      <c r="B18" t="s">
        <v>61</v>
      </c>
      <c r="C18" t="s">
        <v>33</v>
      </c>
      <c r="E18" t="s">
        <v>120</v>
      </c>
      <c r="F18" t="s">
        <v>145</v>
      </c>
      <c r="G18" t="s">
        <v>167</v>
      </c>
      <c r="I18" t="s">
        <v>220</v>
      </c>
      <c r="J18" t="s">
        <v>245</v>
      </c>
      <c r="K18" t="s">
        <v>261</v>
      </c>
      <c r="L18" t="s">
        <v>280</v>
      </c>
      <c r="N18" t="s">
        <v>330</v>
      </c>
      <c r="O18" t="s">
        <v>166</v>
      </c>
      <c r="P18" t="s">
        <v>384</v>
      </c>
      <c r="U18">
        <v>2036</v>
      </c>
    </row>
    <row r="19" spans="1:21" x14ac:dyDescent="0.25">
      <c r="A19" t="s">
        <v>32</v>
      </c>
      <c r="B19" t="s">
        <v>62</v>
      </c>
      <c r="C19" t="s">
        <v>84</v>
      </c>
      <c r="E19" t="s">
        <v>121</v>
      </c>
      <c r="F19" t="s">
        <v>146</v>
      </c>
      <c r="G19" t="s">
        <v>168</v>
      </c>
      <c r="I19" t="s">
        <v>221</v>
      </c>
      <c r="K19" t="s">
        <v>262</v>
      </c>
      <c r="L19" t="s">
        <v>281</v>
      </c>
      <c r="N19" t="s">
        <v>331</v>
      </c>
      <c r="O19" t="s">
        <v>350</v>
      </c>
      <c r="P19" t="s">
        <v>385</v>
      </c>
    </row>
    <row r="20" spans="1:21" x14ac:dyDescent="0.25">
      <c r="A20" t="s">
        <v>33</v>
      </c>
      <c r="B20" t="s">
        <v>63</v>
      </c>
      <c r="C20" t="s">
        <v>85</v>
      </c>
      <c r="E20" t="s">
        <v>122</v>
      </c>
      <c r="F20" t="s">
        <v>147</v>
      </c>
      <c r="G20" t="s">
        <v>169</v>
      </c>
      <c r="I20" t="s">
        <v>222</v>
      </c>
      <c r="K20" t="s">
        <v>263</v>
      </c>
      <c r="L20" t="s">
        <v>282</v>
      </c>
      <c r="N20" t="s">
        <v>332</v>
      </c>
      <c r="O20" t="s">
        <v>351</v>
      </c>
      <c r="P20" t="s">
        <v>386</v>
      </c>
    </row>
    <row r="21" spans="1:21" x14ac:dyDescent="0.25">
      <c r="A21" t="s">
        <v>34</v>
      </c>
      <c r="B21" t="s">
        <v>64</v>
      </c>
      <c r="C21" t="s">
        <v>86</v>
      </c>
      <c r="E21" t="s">
        <v>123</v>
      </c>
      <c r="F21" t="s">
        <v>148</v>
      </c>
      <c r="G21" t="s">
        <v>170</v>
      </c>
      <c r="I21" t="s">
        <v>223</v>
      </c>
      <c r="K21" t="s">
        <v>264</v>
      </c>
      <c r="L21" t="s">
        <v>283</v>
      </c>
      <c r="N21" t="s">
        <v>333</v>
      </c>
      <c r="O21" t="s">
        <v>352</v>
      </c>
      <c r="P21" t="s">
        <v>387</v>
      </c>
    </row>
    <row r="22" spans="1:21" x14ac:dyDescent="0.25">
      <c r="A22" t="s">
        <v>35</v>
      </c>
      <c r="B22" t="s">
        <v>65</v>
      </c>
      <c r="C22" t="s">
        <v>87</v>
      </c>
      <c r="E22" t="s">
        <v>124</v>
      </c>
      <c r="F22" t="s">
        <v>149</v>
      </c>
      <c r="G22" t="s">
        <v>171</v>
      </c>
      <c r="I22" t="s">
        <v>224</v>
      </c>
      <c r="L22" t="s">
        <v>284</v>
      </c>
      <c r="N22" t="s">
        <v>334</v>
      </c>
      <c r="O22" t="s">
        <v>353</v>
      </c>
      <c r="P22" t="s">
        <v>388</v>
      </c>
    </row>
    <row r="23" spans="1:21" x14ac:dyDescent="0.25">
      <c r="A23" t="s">
        <v>36</v>
      </c>
      <c r="B23" t="s">
        <v>66</v>
      </c>
      <c r="C23" t="s">
        <v>88</v>
      </c>
      <c r="E23" t="s">
        <v>126</v>
      </c>
      <c r="F23" t="s">
        <v>150</v>
      </c>
      <c r="G23" t="s">
        <v>172</v>
      </c>
      <c r="I23" t="s">
        <v>225</v>
      </c>
      <c r="L23" t="s">
        <v>285</v>
      </c>
      <c r="O23" t="s">
        <v>354</v>
      </c>
    </row>
    <row r="24" spans="1:21" x14ac:dyDescent="0.25">
      <c r="A24" t="s">
        <v>37</v>
      </c>
      <c r="B24" t="s">
        <v>67</v>
      </c>
      <c r="C24" t="s">
        <v>89</v>
      </c>
      <c r="E24" t="s">
        <v>127</v>
      </c>
      <c r="G24" t="s">
        <v>173</v>
      </c>
      <c r="I24" t="s">
        <v>226</v>
      </c>
      <c r="L24" t="s">
        <v>286</v>
      </c>
      <c r="O24" t="s">
        <v>355</v>
      </c>
    </row>
    <row r="25" spans="1:21" x14ac:dyDescent="0.25">
      <c r="A25" t="s">
        <v>38</v>
      </c>
      <c r="C25" t="s">
        <v>90</v>
      </c>
      <c r="E25" t="s">
        <v>128</v>
      </c>
      <c r="G25" t="s">
        <v>174</v>
      </c>
      <c r="I25" t="s">
        <v>227</v>
      </c>
      <c r="L25" t="s">
        <v>287</v>
      </c>
      <c r="O25" t="s">
        <v>356</v>
      </c>
    </row>
    <row r="26" spans="1:21" x14ac:dyDescent="0.25">
      <c r="A26" t="s">
        <v>39</v>
      </c>
      <c r="G26" t="s">
        <v>175</v>
      </c>
      <c r="I26" t="s">
        <v>228</v>
      </c>
      <c r="L26" t="s">
        <v>288</v>
      </c>
      <c r="O26" t="s">
        <v>357</v>
      </c>
    </row>
    <row r="27" spans="1:21" x14ac:dyDescent="0.25">
      <c r="A27" t="s">
        <v>40</v>
      </c>
      <c r="G27" t="s">
        <v>176</v>
      </c>
      <c r="L27" t="s">
        <v>289</v>
      </c>
      <c r="O27" t="s">
        <v>358</v>
      </c>
    </row>
    <row r="28" spans="1:21" x14ac:dyDescent="0.25">
      <c r="A28" t="s">
        <v>41</v>
      </c>
      <c r="G28" t="s">
        <v>177</v>
      </c>
      <c r="L28" t="s">
        <v>290</v>
      </c>
      <c r="O28" t="s">
        <v>359</v>
      </c>
    </row>
    <row r="29" spans="1:21" x14ac:dyDescent="0.25">
      <c r="A29" t="s">
        <v>42</v>
      </c>
      <c r="G29" t="s">
        <v>178</v>
      </c>
      <c r="L29" t="s">
        <v>291</v>
      </c>
      <c r="O29" t="s">
        <v>360</v>
      </c>
    </row>
    <row r="30" spans="1:21" x14ac:dyDescent="0.25">
      <c r="A30" t="s">
        <v>43</v>
      </c>
      <c r="G30" t="s">
        <v>179</v>
      </c>
      <c r="L30" t="s">
        <v>292</v>
      </c>
      <c r="O30" t="s">
        <v>361</v>
      </c>
    </row>
    <row r="31" spans="1:21" x14ac:dyDescent="0.25">
      <c r="A31" t="s">
        <v>44</v>
      </c>
      <c r="G31" t="s">
        <v>180</v>
      </c>
      <c r="L31" t="s">
        <v>293</v>
      </c>
      <c r="O31" t="s">
        <v>362</v>
      </c>
    </row>
    <row r="32" spans="1:21" x14ac:dyDescent="0.25">
      <c r="G32" t="s">
        <v>192</v>
      </c>
      <c r="L32" t="s">
        <v>294</v>
      </c>
      <c r="O32" t="s">
        <v>363</v>
      </c>
    </row>
    <row r="33" spans="7:15" x14ac:dyDescent="0.25">
      <c r="G33" t="s">
        <v>181</v>
      </c>
      <c r="L33" t="s">
        <v>295</v>
      </c>
      <c r="O33" t="s">
        <v>364</v>
      </c>
    </row>
    <row r="34" spans="7:15" x14ac:dyDescent="0.25">
      <c r="G34" t="s">
        <v>182</v>
      </c>
      <c r="L34" t="s">
        <v>296</v>
      </c>
      <c r="O34" t="s">
        <v>365</v>
      </c>
    </row>
    <row r="35" spans="7:15" x14ac:dyDescent="0.25">
      <c r="G35" t="s">
        <v>183</v>
      </c>
      <c r="L35" t="s">
        <v>297</v>
      </c>
      <c r="O35" t="s">
        <v>366</v>
      </c>
    </row>
    <row r="36" spans="7:15" x14ac:dyDescent="0.25">
      <c r="G36" t="s">
        <v>184</v>
      </c>
      <c r="L36" t="s">
        <v>298</v>
      </c>
      <c r="O36" t="s">
        <v>367</v>
      </c>
    </row>
    <row r="37" spans="7:15" x14ac:dyDescent="0.25">
      <c r="G37" t="s">
        <v>185</v>
      </c>
      <c r="L37" t="s">
        <v>299</v>
      </c>
    </row>
    <row r="38" spans="7:15" x14ac:dyDescent="0.25">
      <c r="G38" t="s">
        <v>186</v>
      </c>
    </row>
    <row r="39" spans="7:15" x14ac:dyDescent="0.25">
      <c r="G39" t="s">
        <v>187</v>
      </c>
    </row>
    <row r="40" spans="7:15" x14ac:dyDescent="0.25">
      <c r="G40" t="s">
        <v>188</v>
      </c>
    </row>
    <row r="41" spans="7:15" x14ac:dyDescent="0.25">
      <c r="G41" t="s">
        <v>189</v>
      </c>
    </row>
    <row r="42" spans="7:15" x14ac:dyDescent="0.25">
      <c r="G42" t="s">
        <v>190</v>
      </c>
    </row>
    <row r="43" spans="7:15" x14ac:dyDescent="0.25">
      <c r="G43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Nazwane zakresy</vt:lpstr>
      </vt:variant>
      <vt:variant>
        <vt:i4>16</vt:i4>
      </vt:variant>
    </vt:vector>
  </HeadingPairs>
  <TitlesOfParts>
    <vt:vector size="22" baseType="lpstr">
      <vt:lpstr>Dane podstawowe</vt:lpstr>
      <vt:lpstr>Zgłoszenia w miesiącu</vt:lpstr>
      <vt:lpstr>Zgłoszenia na koniec miesiaca</vt:lpstr>
      <vt:lpstr>Zwolnienia</vt:lpstr>
      <vt:lpstr>Zwolnienia monitorowane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2018-12-18T12:13:53Z</cp:lastPrinted>
  <dcterms:created xsi:type="dcterms:W3CDTF">2009-02-04T13:09:17Z</dcterms:created>
  <dcterms:modified xsi:type="dcterms:W3CDTF">2020-05-06T13:35:52Z</dcterms:modified>
</cp:coreProperties>
</file>
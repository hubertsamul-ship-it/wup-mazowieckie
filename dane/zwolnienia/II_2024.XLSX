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57CA27F6-6208-4696-B1A6-F2B00424D50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dane!$A$1:$O$24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5" l="1"/>
  <c r="K25" i="5"/>
  <c r="R46" i="5" l="1"/>
  <c r="E2" i="5"/>
  <c r="D2" i="5"/>
  <c r="C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Magdalena Fic</author>
  </authors>
  <commentList>
    <comment ref="K12" authorId="0" shapeId="0" xr:uid="{F86A0A19-C353-489F-957E-04362AEC3705}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dane dotyczą okresu od stycznia  2024 r. do lutego 2024 r.</t>
        </r>
      </text>
    </comment>
    <comment ref="K16" authorId="0" shapeId="0" xr:uid="{32F7950C-D95F-465C-90E0-780A9E3B5469}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Dane dotyczące liczby zwolnionych pracowników w Orange Polska S.A.  w okresie od stycznia 2023 r. do grudnia 2023 r. 
  </t>
        </r>
      </text>
    </comment>
    <comment ref="K17" authorId="0" shapeId="0" xr:uid="{7C0F2DB8-5FE2-4E54-9715-830D7112CC7F}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Dane dotyczące liczby zwolnionych pracowników w DHL Parcel Sp z o.o.  w okresie od stycznia 2023 r.                          do grudnia 2023 r. </t>
        </r>
      </text>
    </comment>
  </commentList>
</comments>
</file>

<file path=xl/sharedStrings.xml><?xml version="1.0" encoding="utf-8"?>
<sst xmlns="http://schemas.openxmlformats.org/spreadsheetml/2006/main" count="524" uniqueCount="492">
  <si>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</si>
  <si>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</si>
  <si>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</si>
  <si>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</si>
  <si>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</si>
  <si>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</si>
  <si>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</si>
  <si>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</si>
  <si>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</si>
  <si>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</si>
  <si>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</si>
  <si>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</si>
  <si>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</si>
  <si>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</si>
  <si>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</si>
  <si>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</si>
  <si>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</si>
  <si>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</si>
  <si>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</si>
  <si>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</si>
  <si>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</si>
  <si>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</si>
  <si>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</si>
  <si>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</si>
  <si>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</si>
  <si>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</si>
  <si>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</si>
  <si>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</si>
  <si>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</si>
  <si>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</si>
  <si>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</si>
  <si>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</si>
  <si>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</si>
  <si>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</si>
  <si>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</si>
  <si>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</si>
  <si>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</si>
  <si>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</si>
  <si>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</si>
  <si>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</si>
  <si>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</si>
  <si>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</si>
  <si>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</si>
  <si>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</si>
  <si>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</si>
  <si>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</si>
  <si>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</si>
  <si>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</si>
  <si>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</si>
  <si>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</si>
  <si>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</si>
  <si>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</si>
  <si>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</si>
  <si>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</si>
  <si>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</si>
  <si>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</si>
  <si>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</si>
  <si>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</si>
  <si>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</si>
  <si>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</si>
  <si>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</si>
  <si>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</si>
  <si>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</si>
  <si>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</si>
  <si>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</si>
  <si>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</si>
  <si>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</si>
  <si>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</si>
  <si>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</si>
  <si>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</si>
  <si>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</si>
  <si>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</si>
  <si>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</si>
  <si>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</si>
  <si>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</si>
  <si>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</si>
  <si>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</si>
  <si>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</si>
  <si>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</si>
  <si>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</si>
  <si>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</si>
  <si>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</si>
  <si>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</si>
  <si>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</si>
  <si>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</si>
  <si>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</si>
  <si>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</si>
  <si>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</si>
  <si>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</si>
  <si>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</si>
  <si>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</si>
  <si>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</si>
  <si>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</si>
  <si>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</si>
  <si>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</si>
  <si>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</si>
  <si>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</si>
  <si>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</si>
  <si>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</si>
  <si>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</si>
  <si>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</si>
  <si>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</si>
  <si>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</si>
  <si>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</si>
  <si>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</si>
  <si>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</si>
  <si>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</si>
  <si>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</si>
  <si>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</si>
  <si>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</si>
  <si>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</si>
  <si>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</si>
  <si>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</si>
  <si>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</si>
  <si>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</si>
  <si>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</si>
  <si>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</si>
  <si>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</si>
  <si>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</si>
  <si>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</si>
  <si>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</si>
  <si>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</si>
  <si>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</si>
  <si>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</si>
  <si>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</si>
  <si>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</si>
  <si>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</si>
  <si>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</si>
  <si>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</si>
  <si>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</si>
  <si>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</si>
  <si>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</si>
  <si>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</si>
  <si>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</si>
  <si>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</si>
  <si>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</si>
  <si>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</si>
  <si>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</si>
  <si>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</si>
  <si>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</si>
  <si>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</si>
  <si>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</si>
  <si>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</si>
  <si>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</si>
  <si>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</si>
  <si>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</si>
  <si>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</si>
  <si>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</si>
  <si>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</si>
  <si>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</si>
  <si>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</si>
  <si>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</si>
  <si>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</si>
  <si>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</si>
  <si>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</si>
  <si>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</si>
  <si>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</si>
  <si>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</si>
  <si>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</si>
  <si>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</si>
  <si>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</si>
  <si>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</si>
  <si>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</si>
  <si>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</si>
  <si>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</si>
  <si>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</si>
  <si>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</si>
  <si>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</si>
  <si>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</si>
  <si>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</si>
  <si>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</si>
  <si>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</si>
  <si>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</si>
  <si>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</si>
  <si>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</si>
  <si>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</si>
  <si>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</si>
  <si>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</si>
  <si>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</si>
  <si>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</si>
  <si>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</si>
  <si>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</si>
  <si>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</si>
  <si>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</si>
  <si>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</si>
  <si>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</si>
  <si>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</si>
  <si>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</si>
  <si>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</si>
  <si>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</si>
  <si>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</si>
  <si>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</si>
  <si>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</si>
  <si>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</si>
  <si>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</si>
  <si>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</si>
  <si>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</si>
  <si>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</si>
  <si>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</si>
  <si>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</si>
  <si>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</si>
  <si>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</si>
  <si>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</si>
  <si>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</si>
  <si>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</si>
  <si>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</si>
  <si>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</si>
  <si>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</si>
  <si>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</si>
  <si>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</si>
  <si>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</si>
  <si>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</si>
  <si>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</si>
  <si>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</si>
  <si>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</si>
  <si>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</si>
  <si>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</si>
  <si>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</si>
  <si>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</si>
  <si>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</si>
  <si>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</si>
  <si>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</si>
  <si>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</si>
  <si>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</si>
  <si>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</si>
  <si>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</si>
  <si>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</si>
  <si>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</si>
  <si>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</si>
  <si>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</si>
  <si>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</si>
  <si>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</si>
  <si>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</si>
  <si>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</si>
  <si>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</si>
  <si>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</si>
  <si>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</si>
  <si>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</si>
  <si>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</si>
  <si>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</si>
  <si>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</si>
  <si>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</si>
  <si>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</si>
  <si>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</si>
  <si>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</si>
  <si>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</si>
  <si>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</si>
  <si>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</si>
  <si>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</si>
  <si>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</si>
  <si>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</si>
  <si>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</si>
  <si>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</si>
  <si>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</si>
  <si>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</si>
  <si>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</si>
  <si>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</si>
  <si>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</si>
  <si>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</si>
  <si>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</si>
  <si>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</si>
  <si>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</si>
  <si>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</si>
  <si>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</si>
  <si>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</si>
  <si>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</si>
  <si>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</si>
  <si>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</si>
  <si>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</si>
  <si>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</si>
  <si>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</si>
  <si>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</si>
  <si>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</si>
  <si>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</si>
  <si>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</si>
  <si>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</si>
  <si>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</si>
  <si>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</si>
  <si>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</si>
  <si>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</si>
  <si>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</si>
  <si>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</si>
  <si>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</si>
  <si>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</si>
  <si>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</si>
  <si>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</si>
  <si>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</si>
  <si>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</si>
  <si>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</si>
  <si>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</si>
  <si>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</si>
  <si>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</si>
  <si>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</si>
  <si>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</si>
  <si>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</si>
  <si>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</si>
  <si>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</si>
  <si>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</si>
  <si>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</si>
  <si>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</si>
  <si>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</si>
  <si>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</si>
  <si>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</si>
  <si>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</si>
  <si>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</si>
  <si>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</si>
  <si>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</si>
  <si>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</si>
  <si>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</si>
  <si>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</si>
  <si>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</si>
  <si>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</si>
  <si>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</si>
  <si>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</si>
  <si>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</si>
  <si>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</si>
  <si>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</si>
  <si>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</si>
  <si>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</si>
  <si>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</si>
  <si>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</si>
  <si>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</si>
  <si>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</si>
  <si>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</si>
  <si>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</si>
  <si>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</si>
  <si>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</si>
  <si>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</si>
  <si>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</si>
  <si>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</si>
  <si>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</si>
  <si>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</si>
  <si>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</si>
  <si>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</si>
  <si>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</si>
  <si>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</si>
  <si>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</si>
  <si>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</si>
  <si>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</si>
  <si>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</si>
  <si>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</si>
  <si>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</si>
  <si>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</si>
  <si>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</si>
  <si>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</si>
  <si>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</si>
  <si>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</si>
  <si>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</si>
  <si>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</si>
  <si>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</si>
  <si>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</si>
  <si>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</si>
  <si>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</si>
  <si>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</si>
  <si>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</si>
  <si>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</si>
  <si>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</si>
  <si>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</si>
  <si>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</si>
  <si>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</si>
  <si>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</si>
  <si>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</si>
  <si>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</si>
  <si>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</si>
  <si>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</si>
  <si>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</si>
  <si>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</si>
  <si>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</si>
  <si>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</si>
  <si>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</si>
  <si>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</si>
  <si>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</si>
  <si>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</si>
  <si>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</si>
  <si>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</si>
  <si>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</si>
  <si>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</si>
  <si>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</si>
  <si>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</si>
  <si>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</si>
  <si>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</si>
  <si>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</si>
  <si>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</si>
  <si>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</si>
  <si>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</si>
  <si>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</si>
  <si>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</si>
  <si>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</si>
  <si>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</si>
  <si>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</si>
  <si>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</si>
  <si>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</si>
  <si>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</si>
  <si>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</si>
  <si>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</si>
  <si>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</si>
  <si>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</si>
  <si>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</si>
  <si>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</si>
  <si>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</si>
  <si>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</si>
  <si>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</si>
  <si>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</si>
  <si>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</si>
  <si>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</si>
  <si>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</si>
  <si>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</si>
  <si>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</si>
  <si>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</si>
  <si>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</si>
  <si>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</si>
  <si>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</si>
  <si>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</si>
  <si>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</si>
  <si>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</si>
  <si>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</si>
  <si>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</si>
  <si>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</si>
  <si>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</si>
  <si>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</si>
  <si>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</si>
  <si>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</si>
  <si>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</si>
  <si>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</si>
  <si>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</si>
  <si>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</si>
  <si>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</si>
  <si>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</si>
  <si>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</si>
  <si>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</si>
  <si>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</si>
  <si>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</si>
  <si>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</si>
  <si>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</si>
  <si>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</si>
  <si>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</si>
  <si>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</si>
  <si>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</si>
  <si>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</si>
  <si>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</si>
  <si>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</si>
  <si>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</si>
  <si>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</si>
  <si>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</si>
  <si>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</si>
  <si>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</si>
  <si>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</si>
  <si>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</si>
  <si>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</si>
  <si>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</si>
  <si>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</si>
  <si>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</si>
  <si>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</si>
  <si>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48 22 578 44 17</t>
  </si>
  <si>
    <t>h.samul@wup.mazowsze.pl</t>
  </si>
  <si>
    <t>mazowieckie</t>
  </si>
  <si>
    <t>SOLBIKA SP. Z O.O.</t>
  </si>
  <si>
    <t>14156173000000</t>
  </si>
  <si>
    <t>2313Z</t>
  </si>
  <si>
    <t>od 28.02.2024 do 27.02.2025</t>
  </si>
  <si>
    <t>nie</t>
  </si>
  <si>
    <t>Pfizer Polska Sp. z o.o                         ul. Żwirki i Figury 16B                                    02-092 Warszawa</t>
  </si>
  <si>
    <t>011225176</t>
  </si>
  <si>
    <t>7311Z</t>
  </si>
  <si>
    <t>02-05.2024 r.</t>
  </si>
  <si>
    <t>4771Z</t>
  </si>
  <si>
    <t>02-06.2024 r.</t>
  </si>
  <si>
    <t>Provident Polska S.A.                                       ul. Inflancka 4A                                            03-189 Warszawa</t>
  </si>
  <si>
    <t>6492Z</t>
  </si>
  <si>
    <t>02-12.2024 r.</t>
  </si>
  <si>
    <t>Pracodawca poinformował Urząd Pracy, że będzie realizował własny outplacment                                        z zakresu posrednictwa pracy i szkoleń</t>
  </si>
  <si>
    <t xml:space="preserve">BNP Paribas Bank Polska S.A.                            ul. M. Kasprzaka  10/16                                              01-211 Warszawa </t>
  </si>
  <si>
    <t xml:space="preserve">  010778878</t>
  </si>
  <si>
    <t>Nokia Solutions and Networks                                                                                               Sp. z o.o.                                                                                                                               ul. Rodziny Hiszpańskich 8                                                                                               02-685 Warszawa</t>
  </si>
  <si>
    <t>140718341</t>
  </si>
  <si>
    <t>6120Z</t>
  </si>
  <si>
    <t>Everli Poland Sp. z o.o.                           ul. Krucza 50                                          00-025 Warszawa</t>
  </si>
  <si>
    <t xml:space="preserve">  364942148</t>
  </si>
  <si>
    <t>6209Z</t>
  </si>
  <si>
    <t>Granna Sp. z o.o.                                          ul. Księcia Ziemowita 47                                                                                        03-788 Warszawa</t>
  </si>
  <si>
    <t xml:space="preserve">  016344939</t>
  </si>
  <si>
    <t>1814Z</t>
  </si>
  <si>
    <t>Orange Polska S.A.                                                    Al. Jerozolimskie  160                                02-326 Warszawa</t>
  </si>
  <si>
    <t>0121100784</t>
  </si>
  <si>
    <t>6110Z</t>
  </si>
  <si>
    <t>DHL Parcel Polska Sp. z o.o.                                      ul. Osmańska 2                                              02-823 Warszawa</t>
  </si>
  <si>
    <t>365170883</t>
  </si>
  <si>
    <t>4941Z</t>
  </si>
  <si>
    <t>Vmware Poland Sp. z o.o.                           Al. Jerozlimskie  181 B                                          02-222 Warszawa</t>
  </si>
  <si>
    <t>380934952</t>
  </si>
  <si>
    <t>7490Z</t>
  </si>
  <si>
    <t>Tema Retail PL Sp. z o.o.                      Al. Jerzolimskie 148                                    02-326 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</si>
</sst>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5]General"/>
    <numFmt numFmtId="165" formatCode="yyyy/mm/dd"/>
  </numFmts>
  <fonts count="26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name val="Calibri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charset val="238"/>
    </font>
    <font>
      <sz val="10"/>
      <color rgb="FF424242"/>
      <name val="Calibri"/>
      <family val="2"/>
      <charset val="238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rgb="FFFF0000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6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96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2" fillId="0" borderId="15" xfId="9" applyFont="1" applyBorder="1" applyAlignment="1">
      <alignment horizontal="left" vertical="center"/>
    </xf>
    <xf numFmtId="0" fontId="22" fillId="0" borderId="15" xfId="9" applyFont="1" applyBorder="1" applyAlignment="1">
      <alignment horizontal="center" vertical="center"/>
    </xf>
    <xf numFmtId="49" fontId="22" fillId="0" borderId="15" xfId="9" applyNumberFormat="1" applyFont="1" applyBorder="1" applyAlignment="1">
      <alignment horizontal="center" vertical="center"/>
    </xf>
    <xf numFmtId="165" fontId="22" fillId="0" borderId="15" xfId="9" applyNumberFormat="1" applyFont="1" applyBorder="1" applyAlignment="1">
      <alignment horizontal="center" vertical="center"/>
    </xf>
    <xf numFmtId="0" fontId="22" fillId="0" borderId="16" xfId="9" applyFont="1" applyBorder="1" applyAlignment="1">
      <alignment horizontal="center" vertical="center"/>
    </xf>
    <xf numFmtId="14" fontId="22" fillId="0" borderId="15" xfId="9" applyNumberFormat="1" applyFont="1" applyBorder="1" applyAlignment="1">
      <alignment horizontal="center" vertical="center"/>
    </xf>
  </cellXfs>
  <cellStyles count="10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Normalny" xfId="0" builtinId="0"/>
    <cellStyle name="Normalny 2" xfId="1" xr:uid="{00000000-0005-0000-0000-000004000000}"/>
    <cellStyle name="Normalny 3" xfId="9" xr:uid="{8A5988CB-BBF9-435C-BF6D-3EAB49A0F372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E8" sqref="E8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282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454</v>
      </c>
      <c r="F13" s="28" t="s">
        <v>453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83" t="s">
        <v>438</v>
      </c>
      <c r="D22" s="19"/>
    </row>
    <row r="23" spans="3:6" ht="26.25">
      <c r="C23" s="83"/>
      <c r="D23" s="20" t="s">
        <v>280</v>
      </c>
    </row>
    <row r="24" spans="3:6" ht="28.5" customHeight="1">
      <c r="C24" s="83"/>
    </row>
    <row r="25" spans="3:6">
      <c r="C25" s="22"/>
    </row>
    <row r="26" spans="3:6">
      <c r="C26" s="83" t="s">
        <v>439</v>
      </c>
    </row>
    <row r="27" spans="3:6">
      <c r="C27" s="83"/>
    </row>
    <row r="28" spans="3:6" ht="23.25" customHeight="1">
      <c r="C28" s="83"/>
    </row>
    <row r="29" spans="3:6">
      <c r="C29" s="22"/>
    </row>
    <row r="30" spans="3:6" ht="12.75" customHeight="1">
      <c r="C30" s="83" t="s">
        <v>440</v>
      </c>
    </row>
    <row r="31" spans="3:6" ht="12.75" customHeight="1">
      <c r="C31" s="83"/>
    </row>
    <row r="32" spans="3:6" ht="21.75" customHeight="1">
      <c r="C32" s="83"/>
    </row>
    <row r="33" spans="3:3" ht="14.25" customHeight="1">
      <c r="C33" s="83"/>
    </row>
    <row r="34" spans="3:3">
      <c r="C34" s="83"/>
    </row>
    <row r="35" spans="3:3">
      <c r="C35" s="83"/>
    </row>
    <row r="37" spans="3:3" ht="12.75" customHeight="1">
      <c r="C37" s="83" t="s">
        <v>448</v>
      </c>
    </row>
    <row r="38" spans="3:3" ht="12.75" customHeight="1">
      <c r="C38" s="83"/>
    </row>
    <row r="39" spans="3:3" ht="19.5" customHeight="1">
      <c r="C39" s="83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0"/>
  <sheetViews>
    <sheetView tabSelected="1" topLeftCell="A6" zoomScale="80" zoomScaleNormal="80" zoomScaleSheetLayoutView="100" workbookViewId="0">
      <selection activeCell="D8" sqref="D8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2:15" ht="20.100000000000001" customHeight="1">
      <c r="D1" s="31"/>
      <c r="F1" s="33"/>
    </row>
    <row r="2" spans="2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Luty </v>
      </c>
      <c r="E2" s="37">
        <f>'Dane podstawowe'!D8</f>
        <v>2024</v>
      </c>
      <c r="F2" s="38"/>
      <c r="G2" s="38"/>
      <c r="H2" s="38"/>
      <c r="I2" s="38"/>
    </row>
    <row r="3" spans="2:15" ht="20.100000000000001" customHeight="1">
      <c r="E3" s="40"/>
    </row>
    <row r="4" spans="2:15" ht="20.100000000000001" customHeight="1">
      <c r="B4" s="84" t="s">
        <v>430</v>
      </c>
      <c r="C4" s="84"/>
      <c r="D4" s="85"/>
      <c r="E4" s="40"/>
    </row>
    <row r="5" spans="2:15" ht="20.100000000000001" customHeight="1">
      <c r="B5" s="41"/>
      <c r="C5" s="41"/>
      <c r="D5" s="42"/>
      <c r="E5" s="40"/>
    </row>
    <row r="6" spans="2:15" ht="90.75" customHeight="1">
      <c r="B6" s="86" t="s">
        <v>444</v>
      </c>
      <c r="C6" s="86"/>
      <c r="D6" s="86"/>
      <c r="E6" s="86"/>
      <c r="F6" s="86"/>
      <c r="G6" s="87" t="s">
        <v>446</v>
      </c>
      <c r="H6" s="88"/>
      <c r="I6" s="88"/>
      <c r="J6" s="89"/>
      <c r="K6" s="47" t="s">
        <v>447</v>
      </c>
      <c r="L6" s="86" t="s">
        <v>445</v>
      </c>
      <c r="M6" s="86"/>
      <c r="N6" s="86"/>
      <c r="O6" s="43"/>
    </row>
    <row r="7" spans="2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2:15" s="30" customFormat="1" ht="47.25" customHeight="1">
      <c r="B8" s="91" t="s">
        <v>89</v>
      </c>
      <c r="C8" s="91" t="s">
        <v>455</v>
      </c>
      <c r="D8" s="90" t="s">
        <v>456</v>
      </c>
      <c r="E8" s="92" t="s">
        <v>457</v>
      </c>
      <c r="F8" s="91" t="s">
        <v>458</v>
      </c>
      <c r="G8" s="91">
        <v>119</v>
      </c>
      <c r="H8" s="93" t="s">
        <v>459</v>
      </c>
      <c r="I8" s="94">
        <v>0</v>
      </c>
      <c r="J8" s="94" t="s">
        <v>460</v>
      </c>
      <c r="K8" s="94">
        <v>0</v>
      </c>
      <c r="L8" s="94">
        <v>0</v>
      </c>
      <c r="M8" s="94"/>
      <c r="N8" s="94"/>
      <c r="O8" s="95">
        <v>45329</v>
      </c>
    </row>
    <row r="9" spans="2:15" ht="48" customHeight="1">
      <c r="B9" s="65" t="s">
        <v>91</v>
      </c>
      <c r="C9" s="65" t="s">
        <v>269</v>
      </c>
      <c r="D9" s="69" t="s">
        <v>461</v>
      </c>
      <c r="E9" s="70" t="s">
        <v>462</v>
      </c>
      <c r="F9" s="71" t="s">
        <v>463</v>
      </c>
      <c r="G9" s="72">
        <v>40</v>
      </c>
      <c r="H9" s="73" t="s">
        <v>464</v>
      </c>
      <c r="I9" s="72">
        <v>0</v>
      </c>
      <c r="J9" s="72" t="s">
        <v>460</v>
      </c>
      <c r="K9" s="74"/>
      <c r="L9" s="74"/>
      <c r="M9" s="75"/>
      <c r="N9" s="75"/>
      <c r="O9" s="76">
        <v>45300</v>
      </c>
    </row>
    <row r="10" spans="2:15" ht="48" customHeight="1">
      <c r="B10" s="65" t="s">
        <v>91</v>
      </c>
      <c r="C10" s="65" t="s">
        <v>269</v>
      </c>
      <c r="D10" s="77" t="s">
        <v>491</v>
      </c>
      <c r="E10" s="78">
        <v>146031929</v>
      </c>
      <c r="F10" s="78" t="s">
        <v>465</v>
      </c>
      <c r="G10" s="78">
        <v>15</v>
      </c>
      <c r="H10" s="79" t="s">
        <v>466</v>
      </c>
      <c r="I10" s="79">
        <v>0</v>
      </c>
      <c r="J10" s="79" t="s">
        <v>460</v>
      </c>
      <c r="K10" s="79"/>
      <c r="L10" s="79"/>
      <c r="M10" s="79"/>
      <c r="N10" s="79"/>
      <c r="O10" s="76">
        <v>45337</v>
      </c>
    </row>
    <row r="11" spans="2:15" ht="48" customHeight="1">
      <c r="B11" s="65" t="s">
        <v>91</v>
      </c>
      <c r="C11" s="65" t="s">
        <v>269</v>
      </c>
      <c r="D11" s="80" t="s">
        <v>467</v>
      </c>
      <c r="E11" s="78">
        <v>11994880</v>
      </c>
      <c r="F11" s="78" t="s">
        <v>468</v>
      </c>
      <c r="G11" s="78">
        <v>232</v>
      </c>
      <c r="H11" s="79" t="s">
        <v>469</v>
      </c>
      <c r="I11" s="79">
        <v>0</v>
      </c>
      <c r="J11" s="79" t="s">
        <v>460</v>
      </c>
      <c r="K11" s="79"/>
      <c r="L11" s="79">
        <v>232</v>
      </c>
      <c r="M11" s="79" t="s">
        <v>470</v>
      </c>
      <c r="N11" s="79"/>
      <c r="O11" s="76">
        <v>45352</v>
      </c>
    </row>
    <row r="12" spans="2:15" ht="48" customHeight="1">
      <c r="B12" s="65" t="s">
        <v>91</v>
      </c>
      <c r="C12" s="65" t="s">
        <v>269</v>
      </c>
      <c r="D12" s="80" t="s">
        <v>471</v>
      </c>
      <c r="E12" s="78" t="s">
        <v>472</v>
      </c>
      <c r="F12" s="78" t="s">
        <v>465</v>
      </c>
      <c r="G12" s="66">
        <v>0</v>
      </c>
      <c r="H12" s="66">
        <v>0</v>
      </c>
      <c r="I12" s="66">
        <v>0</v>
      </c>
      <c r="J12" s="66">
        <v>0</v>
      </c>
      <c r="K12" s="66">
        <v>41</v>
      </c>
      <c r="L12" s="66">
        <v>0</v>
      </c>
      <c r="M12" s="66">
        <v>0</v>
      </c>
      <c r="N12" s="66">
        <v>0</v>
      </c>
      <c r="O12" s="67">
        <v>45352</v>
      </c>
    </row>
    <row r="13" spans="2:15" ht="51" customHeight="1">
      <c r="B13" s="65" t="s">
        <v>91</v>
      </c>
      <c r="C13" s="65" t="s">
        <v>269</v>
      </c>
      <c r="D13" s="68" t="s">
        <v>473</v>
      </c>
      <c r="E13" s="66" t="s">
        <v>474</v>
      </c>
      <c r="F13" s="66" t="s">
        <v>475</v>
      </c>
      <c r="G13" s="66">
        <v>0</v>
      </c>
      <c r="H13" s="66">
        <v>0</v>
      </c>
      <c r="I13" s="66">
        <v>0</v>
      </c>
      <c r="J13" s="66">
        <v>0</v>
      </c>
      <c r="K13" s="66">
        <v>80</v>
      </c>
      <c r="L13" s="66">
        <v>0</v>
      </c>
      <c r="M13" s="66">
        <v>0</v>
      </c>
      <c r="N13" s="66">
        <v>0</v>
      </c>
      <c r="O13" s="67">
        <v>45355</v>
      </c>
    </row>
    <row r="14" spans="2:15" ht="53.25" customHeight="1">
      <c r="B14" s="65" t="s">
        <v>91</v>
      </c>
      <c r="C14" s="65" t="s">
        <v>269</v>
      </c>
      <c r="D14" s="68" t="s">
        <v>476</v>
      </c>
      <c r="E14" s="66" t="s">
        <v>477</v>
      </c>
      <c r="F14" s="66" t="s">
        <v>478</v>
      </c>
      <c r="G14" s="66">
        <v>0</v>
      </c>
      <c r="H14" s="66">
        <v>0</v>
      </c>
      <c r="I14" s="66">
        <v>0</v>
      </c>
      <c r="J14" s="66">
        <v>0</v>
      </c>
      <c r="K14" s="66">
        <v>3</v>
      </c>
      <c r="L14" s="66">
        <v>0</v>
      </c>
      <c r="M14" s="66">
        <v>0</v>
      </c>
      <c r="N14" s="66">
        <v>0</v>
      </c>
      <c r="O14" s="67">
        <v>45351</v>
      </c>
    </row>
    <row r="15" spans="2:15" ht="66" customHeight="1">
      <c r="B15" s="65" t="s">
        <v>91</v>
      </c>
      <c r="C15" s="65" t="s">
        <v>269</v>
      </c>
      <c r="D15" s="69" t="s">
        <v>479</v>
      </c>
      <c r="E15" s="81" t="s">
        <v>480</v>
      </c>
      <c r="F15" s="71" t="s">
        <v>481</v>
      </c>
      <c r="G15" s="66">
        <v>0</v>
      </c>
      <c r="H15" s="66">
        <v>0</v>
      </c>
      <c r="I15" s="66">
        <v>0</v>
      </c>
      <c r="J15" s="66">
        <v>0</v>
      </c>
      <c r="K15" s="66">
        <v>34</v>
      </c>
      <c r="L15" s="66">
        <v>0</v>
      </c>
      <c r="M15" s="66">
        <v>0</v>
      </c>
      <c r="N15" s="66">
        <v>0</v>
      </c>
      <c r="O15" s="67">
        <v>45350</v>
      </c>
    </row>
    <row r="16" spans="2:15" ht="48" customHeight="1">
      <c r="B16" s="65" t="s">
        <v>91</v>
      </c>
      <c r="C16" s="65" t="s">
        <v>269</v>
      </c>
      <c r="D16" s="69" t="s">
        <v>482</v>
      </c>
      <c r="E16" s="82" t="s">
        <v>483</v>
      </c>
      <c r="F16" s="71" t="s">
        <v>484</v>
      </c>
      <c r="G16" s="66">
        <v>0</v>
      </c>
      <c r="H16" s="66">
        <v>0</v>
      </c>
      <c r="I16" s="66">
        <v>0</v>
      </c>
      <c r="J16" s="66">
        <v>0</v>
      </c>
      <c r="K16" s="66">
        <v>640</v>
      </c>
      <c r="L16" s="66">
        <v>0</v>
      </c>
      <c r="M16" s="66">
        <v>0</v>
      </c>
      <c r="N16" s="66">
        <v>0</v>
      </c>
      <c r="O16" s="67">
        <v>45345</v>
      </c>
    </row>
    <row r="17" spans="2:16" ht="51.75" customHeight="1">
      <c r="B17" s="65" t="s">
        <v>91</v>
      </c>
      <c r="C17" s="65" t="s">
        <v>269</v>
      </c>
      <c r="D17" s="69" t="s">
        <v>485</v>
      </c>
      <c r="E17" s="82" t="s">
        <v>486</v>
      </c>
      <c r="F17" s="71" t="s">
        <v>487</v>
      </c>
      <c r="G17" s="66">
        <v>0</v>
      </c>
      <c r="H17" s="66">
        <v>0</v>
      </c>
      <c r="I17" s="66">
        <v>0</v>
      </c>
      <c r="J17" s="66">
        <v>0</v>
      </c>
      <c r="K17" s="66">
        <v>59</v>
      </c>
      <c r="L17" s="66">
        <v>0</v>
      </c>
      <c r="M17" s="66">
        <v>0</v>
      </c>
      <c r="N17" s="66">
        <v>0</v>
      </c>
      <c r="O17" s="67">
        <v>45349</v>
      </c>
    </row>
    <row r="18" spans="2:16" ht="60.75" customHeight="1">
      <c r="B18" s="65" t="s">
        <v>91</v>
      </c>
      <c r="C18" s="65" t="s">
        <v>269</v>
      </c>
      <c r="D18" s="69" t="s">
        <v>488</v>
      </c>
      <c r="E18" s="70" t="s">
        <v>489</v>
      </c>
      <c r="F18" s="71" t="s">
        <v>490</v>
      </c>
      <c r="G18" s="66">
        <v>0</v>
      </c>
      <c r="H18" s="66">
        <v>0</v>
      </c>
      <c r="I18" s="66">
        <v>0</v>
      </c>
      <c r="J18" s="66">
        <v>0</v>
      </c>
      <c r="K18" s="66">
        <v>20</v>
      </c>
      <c r="L18" s="66">
        <v>0</v>
      </c>
      <c r="M18" s="66">
        <v>0</v>
      </c>
      <c r="N18" s="66">
        <v>0</v>
      </c>
      <c r="O18" s="67">
        <v>45351</v>
      </c>
    </row>
    <row r="19" spans="2:16" ht="63" customHeight="1">
      <c r="B19" s="60"/>
      <c r="C19" s="60"/>
      <c r="D19" s="61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</row>
    <row r="20" spans="2:16" ht="45.75" customHeight="1">
      <c r="B20" s="60"/>
      <c r="C20" s="60"/>
      <c r="D20" s="61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</row>
    <row r="21" spans="2:16" ht="51" customHeight="1">
      <c r="B21" s="60"/>
      <c r="C21" s="60"/>
      <c r="D21" s="61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</row>
    <row r="22" spans="2:16" ht="45" customHeight="1">
      <c r="B22" s="60"/>
      <c r="C22" s="60"/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</row>
    <row r="23" spans="2:16" ht="45" customHeight="1">
      <c r="B23" s="60"/>
      <c r="C23" s="60"/>
      <c r="D23" s="61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3"/>
    </row>
    <row r="24" spans="2:16" ht="45" customHeight="1">
      <c r="B24" s="57"/>
      <c r="C24" s="57"/>
      <c r="D24" s="58"/>
      <c r="E24" s="64"/>
      <c r="F24" s="57"/>
      <c r="G24" s="57"/>
      <c r="H24" s="57"/>
      <c r="I24" s="57"/>
      <c r="J24" s="57"/>
      <c r="K24" s="57"/>
      <c r="L24" s="57"/>
      <c r="M24" s="57"/>
      <c r="N24" s="57"/>
      <c r="O24" s="59"/>
    </row>
    <row r="25" spans="2:16" ht="14.25">
      <c r="B25" s="49"/>
      <c r="C25" s="49"/>
      <c r="D25" s="50"/>
      <c r="E25" s="53"/>
      <c r="F25" s="52"/>
      <c r="G25" s="48">
        <f>SUM(G8:G24)</f>
        <v>406</v>
      </c>
      <c r="H25" s="48"/>
      <c r="I25" s="48"/>
      <c r="J25" s="48"/>
      <c r="K25" s="48">
        <f>SUM(K8:K24)</f>
        <v>877</v>
      </c>
      <c r="L25" s="48"/>
      <c r="M25" s="48"/>
      <c r="N25" s="48"/>
      <c r="O25" s="48"/>
      <c r="P25" s="54"/>
    </row>
    <row r="26" spans="2:16" ht="15">
      <c r="B26" s="55"/>
      <c r="C26" s="49"/>
      <c r="D26" s="50"/>
      <c r="E26" s="56"/>
      <c r="F26" s="52"/>
      <c r="G26" s="54"/>
      <c r="H26" s="48"/>
      <c r="I26" s="48"/>
      <c r="J26" s="48"/>
      <c r="K26" s="52"/>
      <c r="L26" s="48"/>
      <c r="M26" s="48"/>
      <c r="N26" s="48"/>
      <c r="O26" s="51"/>
      <c r="P26" s="54"/>
    </row>
    <row r="27" spans="2:16" ht="12.75"/>
    <row r="28" spans="2:16" ht="12.75"/>
    <row r="29" spans="2:16" ht="12.75"/>
    <row r="30" spans="2:16" ht="12.75"/>
    <row r="31" spans="2:16" ht="12.75"/>
    <row r="32" spans="2:16" ht="12.75"/>
    <row r="33" spans="18:18" ht="12.75"/>
    <row r="34" spans="18:18" ht="12.75"/>
    <row r="35" spans="18:18" ht="12.75"/>
    <row r="36" spans="18:18" ht="12.75"/>
    <row r="37" spans="18:18" ht="12.75"/>
    <row r="38" spans="18:18" ht="12.75"/>
    <row r="39" spans="18:18" ht="12.75"/>
    <row r="40" spans="18:18" ht="12.75"/>
    <row r="41" spans="18:18" ht="12.75"/>
    <row r="42" spans="18:18" ht="12.75"/>
    <row r="43" spans="18:18" ht="12.75"/>
    <row r="44" spans="18:18" ht="12.75"/>
    <row r="45" spans="18:18" ht="12.75">
      <c r="R45" s="29">
        <v>2348</v>
      </c>
    </row>
    <row r="46" spans="18:18" ht="12.75">
      <c r="R46" s="29">
        <f>R45-G25</f>
        <v>1942</v>
      </c>
    </row>
    <row r="47" spans="18:18" ht="12.75"/>
    <row r="48" spans="18:1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2024-03-07T08:08:26Z</dcterms:modified>
</cp:coreProperties>
</file>
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K24" i="5" l="1"/>
  <c r="E2" i="5" l="1"/>
  <c r="D2" i="5"/>
  <c r="C2" i="5"/>
</calcChain>
</file>

<file path=xl/sharedStrings.xml><?xml version="1.0" encoding="utf-8"?>
<sst xmlns="http://schemas.openxmlformats.org/spreadsheetml/2006/main" count="568" uniqueCount="510">
  <si>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</si>
  <si>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</si>
  <si>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</si>
  <si>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</si>
  <si>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</si>
  <si>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</si>
  <si>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</si>
  <si>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</si>
  <si>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</si>
  <si>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</si>
  <si>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</si>
  <si>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</si>
  <si>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</si>
  <si>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</si>
  <si>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</si>
  <si>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</si>
  <si>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</si>
  <si>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</si>
  <si>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</si>
  <si>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</si>
  <si>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</si>
  <si>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</si>
  <si>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</si>
  <si>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</si>
  <si>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</si>
  <si>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</si>
  <si>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</si>
  <si>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</si>
  <si>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</si>
  <si>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</si>
  <si>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</si>
  <si>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</si>
  <si>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</si>
  <si>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</si>
  <si>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</si>
  <si>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</si>
  <si>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</si>
  <si>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</si>
  <si>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</si>
  <si>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</si>
  <si>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</si>
  <si>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</si>
  <si>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</si>
  <si>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</si>
  <si>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</si>
  <si>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</si>
  <si>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</si>
  <si>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</si>
  <si>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</si>
  <si>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</si>
  <si>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</si>
  <si>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</si>
  <si>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</si>
  <si>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</si>
  <si>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</si>
  <si>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</si>
  <si>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</si>
  <si>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</si>
  <si>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</si>
  <si>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</si>
  <si>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</si>
  <si>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</si>
  <si>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</si>
  <si>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</si>
  <si>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</si>
  <si>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</si>
  <si>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</si>
  <si>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</si>
  <si>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</si>
  <si>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</si>
  <si>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</si>
  <si>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</si>
  <si>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</si>
  <si>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</si>
  <si>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</si>
  <si>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</si>
  <si>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</si>
  <si>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</si>
  <si>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</si>
  <si>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</si>
  <si>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</si>
  <si>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</si>
  <si>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</si>
  <si>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</si>
  <si>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</si>
  <si>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</si>
  <si>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</si>
  <si>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</si>
  <si>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</si>
  <si>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</si>
  <si>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</si>
  <si>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</si>
  <si>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</si>
  <si>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</si>
  <si>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</si>
  <si>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</si>
  <si>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</si>
  <si>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</si>
  <si>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</si>
  <si>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</si>
  <si>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</si>
  <si>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</si>
  <si>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</si>
  <si>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</si>
  <si>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</si>
  <si>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</si>
  <si>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</si>
  <si>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</si>
  <si>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</si>
  <si>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</si>
  <si>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</si>
  <si>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</si>
  <si>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</si>
  <si>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</si>
  <si>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</si>
  <si>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</si>
  <si>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</si>
  <si>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</si>
  <si>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</si>
  <si>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</si>
  <si>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</si>
  <si>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</si>
  <si>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</si>
  <si>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</si>
  <si>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</si>
  <si>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</si>
  <si>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</si>
  <si>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</si>
  <si>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</si>
  <si>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</si>
  <si>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</si>
  <si>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</si>
  <si>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</si>
  <si>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</si>
  <si>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</si>
  <si>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</si>
  <si>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</si>
  <si>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</si>
  <si>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</si>
  <si>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</si>
  <si>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</si>
  <si>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</si>
  <si>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</si>
  <si>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</si>
  <si>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</si>
  <si>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</si>
  <si>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</si>
  <si>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</si>
  <si>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</si>
  <si>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</si>
  <si>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</si>
  <si>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</si>
  <si>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</si>
  <si>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</si>
  <si>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</si>
  <si>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</si>
  <si>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</si>
  <si>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</si>
  <si>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</si>
  <si>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</si>
  <si>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</si>
  <si>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</si>
  <si>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</si>
  <si>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</si>
  <si>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</si>
  <si>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</si>
  <si>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</si>
  <si>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</si>
  <si>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</si>
  <si>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</si>
  <si>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</si>
  <si>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</si>
  <si>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</si>
  <si>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</si>
  <si>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</si>
  <si>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</si>
  <si>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</si>
  <si>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</si>
  <si>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</si>
  <si>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</si>
  <si>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</si>
  <si>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</si>
  <si>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</si>
  <si>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</si>
  <si>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</si>
  <si>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</si>
  <si>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</si>
  <si>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</si>
  <si>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</si>
  <si>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</si>
  <si>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</si>
  <si>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</si>
  <si>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</si>
  <si>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</si>
  <si>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</si>
  <si>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</si>
  <si>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</si>
  <si>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</si>
  <si>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</si>
  <si>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</si>
  <si>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</si>
  <si>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</si>
  <si>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</si>
  <si>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</si>
  <si>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</si>
  <si>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</si>
  <si>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</si>
  <si>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</si>
  <si>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</si>
  <si>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</si>
  <si>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</si>
  <si>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</si>
  <si>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</si>
  <si>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</si>
  <si>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</si>
  <si>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</si>
  <si>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</si>
  <si>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</si>
  <si>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</si>
  <si>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</si>
  <si>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</si>
  <si>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</si>
  <si>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</si>
  <si>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</si>
  <si>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</si>
  <si>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</si>
  <si>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</si>
  <si>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</si>
  <si>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</si>
  <si>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</si>
  <si>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</si>
  <si>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</si>
  <si>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</si>
  <si>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</si>
  <si>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</si>
  <si>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</si>
  <si>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</si>
  <si>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</si>
  <si>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</si>
  <si>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</si>
  <si>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</si>
  <si>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</si>
  <si>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</si>
  <si>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</si>
  <si>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</si>
  <si>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</si>
  <si>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</si>
  <si>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</si>
  <si>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</si>
  <si>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</si>
  <si>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</si>
  <si>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</si>
  <si>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</si>
  <si>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</si>
  <si>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</si>
  <si>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</si>
  <si>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</si>
  <si>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</si>
  <si>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</si>
  <si>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</si>
  <si>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</si>
  <si>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</si>
  <si>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</si>
  <si>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</si>
  <si>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</si>
  <si>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</si>
  <si>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</si>
  <si>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</si>
  <si>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</si>
  <si>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</si>
  <si>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</si>
  <si>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</si>
  <si>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</si>
  <si>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</si>
  <si>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</si>
  <si>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</si>
  <si>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</si>
  <si>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</si>
  <si>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</si>
  <si>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</si>
  <si>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</si>
  <si>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</si>
  <si>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</si>
  <si>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</si>
  <si>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</si>
  <si>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</si>
  <si>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</si>
  <si>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</si>
  <si>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</si>
  <si>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</si>
  <si>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</si>
  <si>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</si>
  <si>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</si>
  <si>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</si>
  <si>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</si>
  <si>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</si>
  <si>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</si>
  <si>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</si>
  <si>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</si>
  <si>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</si>
  <si>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</si>
  <si>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</si>
  <si>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</si>
  <si>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</si>
  <si>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</si>
  <si>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</si>
  <si>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</si>
  <si>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</si>
  <si>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</si>
  <si>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</si>
  <si>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</si>
  <si>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</si>
  <si>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</si>
  <si>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</si>
  <si>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</si>
  <si>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</si>
  <si>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</si>
  <si>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</si>
  <si>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</si>
  <si>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</si>
  <si>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</si>
  <si>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</si>
  <si>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</si>
  <si>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</si>
  <si>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</si>
  <si>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</si>
  <si>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</si>
  <si>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</si>
  <si>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</si>
  <si>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</si>
  <si>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</si>
  <si>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</si>
  <si>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</si>
  <si>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</si>
  <si>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</si>
  <si>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</si>
  <si>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</si>
  <si>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</si>
  <si>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</si>
  <si>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</si>
  <si>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</si>
  <si>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</si>
  <si>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</si>
  <si>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</si>
  <si>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</si>
  <si>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</si>
  <si>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</si>
  <si>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</si>
  <si>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</si>
  <si>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</si>
  <si>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</si>
  <si>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</si>
  <si>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</si>
  <si>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</si>
  <si>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</si>
  <si>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</si>
  <si>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</si>
  <si>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</si>
  <si>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</si>
  <si>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</si>
  <si>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</si>
  <si>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</si>
  <si>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</si>
  <si>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</si>
  <si>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</si>
  <si>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</si>
  <si>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</si>
  <si>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</si>
  <si>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</si>
  <si>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</si>
  <si>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</si>
  <si>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</si>
  <si>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</si>
  <si>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</si>
  <si>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</si>
  <si>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</si>
  <si>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</si>
  <si>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</si>
  <si>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</si>
  <si>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</si>
  <si>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</si>
  <si>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</si>
  <si>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</si>
  <si>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</si>
  <si>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</si>
  <si>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</si>
  <si>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</si>
  <si>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</si>
  <si>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</si>
  <si>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</si>
  <si>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</si>
  <si>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</si>
  <si>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</si>
  <si>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</si>
  <si>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</si>
  <si>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</si>
  <si>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</si>
  <si>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</si>
  <si>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</si>
  <si>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</si>
  <si>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</si>
  <si>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</si>
  <si>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</si>
  <si>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</si>
  <si>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</si>
  <si>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</si>
  <si>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</si>
  <si>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</si>
  <si>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</si>
  <si>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</si>
  <si>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</si>
  <si>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</si>
  <si>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</si>
  <si>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</si>
  <si>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</si>
  <si>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</si>
  <si>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</si>
  <si>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</si>
  <si>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</si>
  <si>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</si>
  <si>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</si>
  <si>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</si>
  <si>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</si>
  <si>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</si>
  <si>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</si>
  <si>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</si>
  <si>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</si>
  <si>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</si>
  <si>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</si>
  <si>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</si>
  <si>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</si>
  <si>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</si>
  <si>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</si>
  <si>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</si>
  <si>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</si>
  <si>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</si>
  <si>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</si>
  <si>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</si>
  <si>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</si>
  <si>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</si>
  <si>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</si>
  <si>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</si>
  <si>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</si>
  <si>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</si>
  <si>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</si>
  <si>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</si>
  <si>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</si>
  <si>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</si>
  <si>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</si>
  <si>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</si>
  <si>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</si>
  <si>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</si>
  <si>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</si>
  <si>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</si>
  <si>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</si>
  <si>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4771Z</t>
  </si>
  <si>
    <t xml:space="preserve">BNP Paribas Bank Polska S.A.                  ul. M. Kasprzaka  10/16                           01-211 Warszawa </t>
  </si>
  <si>
    <t>nie</t>
  </si>
  <si>
    <t>6619Z</t>
  </si>
  <si>
    <t>7022Z</t>
  </si>
  <si>
    <t>PKO BP  S.A.                                                                               ul. Puławska 15                                               02-515 Warszawa</t>
  </si>
  <si>
    <t>016298263</t>
  </si>
  <si>
    <t>6419Z</t>
  </si>
  <si>
    <t xml:space="preserve">Polskie Linnie Lotnicze LOT                        ul. Komitetu Robotników 43                        02-146 Warszwa </t>
  </si>
  <si>
    <t>010058960</t>
  </si>
  <si>
    <t>5110Z</t>
  </si>
  <si>
    <t xml:space="preserve">Ringier Axel Springier                              Polska Sp. z o.o.                                         ul. Domaniewska 49                                             02-672 Warszawa </t>
  </si>
  <si>
    <t>010687650</t>
  </si>
  <si>
    <t>5814Z</t>
  </si>
  <si>
    <t>10.2022 - 02.2023</t>
  </si>
  <si>
    <t>Arriva Polska Sp, z o.o.                                  ul. Żwirki i Figury 16A                                 02-092 Warszawy</t>
  </si>
  <si>
    <t>1406845501</t>
  </si>
  <si>
    <t>7010Z</t>
  </si>
  <si>
    <t>10.2022 - 09.2023</t>
  </si>
  <si>
    <t>SHPL Sp. z o.o.                                         ul. Towarowa 28                                            00-839 Warszawa</t>
  </si>
  <si>
    <t>389450687</t>
  </si>
  <si>
    <t>4791Z</t>
  </si>
  <si>
    <t>Pracodawca realizować będzie  usługę outplacemtu we współpracy z Urzędem Pracy    m.st. Warszawy.                  W ramach pomocy zwalniani pracownicy będą mogli skorzystać z punktów konsultacyjych                        i wykładów z zakresu poradnictwa zawodowego</t>
  </si>
  <si>
    <t>DHL Parcel Polska Sp. z o.o.                                      ul. Osmańska 2                                              02-823 Warszawa</t>
  </si>
  <si>
    <t>365170883</t>
  </si>
  <si>
    <t>4941Z</t>
  </si>
  <si>
    <t xml:space="preserve">Pracodawca realizować będzie  usługę outplacemtu samodzielnie.                     W ramach programu zwalniani pracownicy otrzymają pomoc                  w zakresie pośrednictwa pracy    i pomoc psychologiczną                 </t>
  </si>
  <si>
    <t>Orange Polska S.A.                                      Al. Jerozolimskie  160                              02-326 Warszawa</t>
  </si>
  <si>
    <t>0121100784</t>
  </si>
  <si>
    <t>6110Z</t>
  </si>
  <si>
    <t xml:space="preserve">01-12.2023 </t>
  </si>
  <si>
    <t xml:space="preserve">Pracodawca sfinasuje pracownikom szkolenie             w zakresie  dotyczącym ułatwienia poszukiwania pracy  m.in.  w zakresie rozmowy rekrutacyjnej, pisania życiorysu, technik aktywnego poszukiwania pracy. </t>
  </si>
  <si>
    <t>Accenture Delivery Poland                           Sp. z o.o.                                                                 ul. Sienna 39                                        00-121 Warszawa</t>
  </si>
  <si>
    <t>369403752</t>
  </si>
  <si>
    <t>10.2022 - 04.2023</t>
  </si>
  <si>
    <t xml:space="preserve">nie </t>
  </si>
  <si>
    <t xml:space="preserve">Credipass Sp. zo.o.                                                   ul. Wołowska  22                                       02-675 Warszawa </t>
  </si>
  <si>
    <t>141153906</t>
  </si>
  <si>
    <t xml:space="preserve">Stalgast Sp. z o.o.                                  Plac Konesra 9 Bud. 0                                    03-736 Warszawa </t>
  </si>
  <si>
    <t xml:space="preserve">  017223787</t>
  </si>
  <si>
    <t>4690Z</t>
  </si>
  <si>
    <t>10.2022-02.2023</t>
  </si>
  <si>
    <t xml:space="preserve">Stalgast Radom Sp. z o.o.                                  Plac Konesra 9 Bud. 0                                    03-736 Warszawa </t>
  </si>
  <si>
    <t xml:space="preserve">142921520 </t>
  </si>
  <si>
    <t>3299Z</t>
  </si>
  <si>
    <t xml:space="preserve">Regalix Poland Sp. z o.o.                               ul. Złota 59                                          00-120 Warszawa </t>
  </si>
  <si>
    <t xml:space="preserve">  369261453</t>
  </si>
  <si>
    <t xml:space="preserve">Agora S.A.                                            ul. Czerska 8/10                                            00-732 Warszawa </t>
  </si>
  <si>
    <t>011559486</t>
  </si>
  <si>
    <t>5813Z</t>
  </si>
  <si>
    <t>10.2022-03.2023</t>
  </si>
  <si>
    <t>Pracodawca realizować będzie  usługę outplacemtu we współpracy z Urzędem Pracy  m.st. Warszawy.                  W ramach pomocy zwalniani pracownicy będą mogli skorzystać z punktów konsultacyjych                        i wykładów z zakresu poradnictwa zawodowego</t>
  </si>
  <si>
    <t>Accenture Operations Sp. z o.o.                                        ul. Sienna 39                                                              00-121 Warszawa</t>
  </si>
  <si>
    <t>DNB Bank Polska S.A.                                                ul.Postępu 15C                                                              02-676 Warszawa</t>
  </si>
  <si>
    <t>017296065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</si>
</sst>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topLeftCell="A13"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290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62" t="s">
        <v>438</v>
      </c>
      <c r="D22" s="19"/>
    </row>
    <row r="23" spans="3:6" ht="26.25">
      <c r="C23" s="62"/>
      <c r="D23" s="20" t="s">
        <v>280</v>
      </c>
    </row>
    <row r="24" spans="3:6" ht="28.5" customHeight="1">
      <c r="C24" s="62"/>
    </row>
    <row r="25" spans="3:6">
      <c r="C25" s="22"/>
    </row>
    <row r="26" spans="3:6">
      <c r="C26" s="62" t="s">
        <v>439</v>
      </c>
    </row>
    <row r="27" spans="3:6">
      <c r="C27" s="62"/>
    </row>
    <row r="28" spans="3:6" ht="23.25" customHeight="1">
      <c r="C28" s="62"/>
    </row>
    <row r="29" spans="3:6">
      <c r="C29" s="22"/>
    </row>
    <row r="30" spans="3:6" ht="12.75" customHeight="1">
      <c r="C30" s="62" t="s">
        <v>440</v>
      </c>
    </row>
    <row r="31" spans="3:6" ht="12.75" customHeight="1">
      <c r="C31" s="62"/>
    </row>
    <row r="32" spans="3:6" ht="21.75" customHeight="1">
      <c r="C32" s="62"/>
    </row>
    <row r="33" spans="3:3" ht="14.25" customHeight="1">
      <c r="C33" s="62"/>
    </row>
    <row r="34" spans="3:3">
      <c r="C34" s="62"/>
    </row>
    <row r="35" spans="3:3">
      <c r="C35" s="62"/>
    </row>
    <row r="37" spans="3:3" ht="12.75" customHeight="1">
      <c r="C37" s="62" t="s">
        <v>448</v>
      </c>
    </row>
    <row r="38" spans="3:3" ht="12.75" customHeight="1">
      <c r="C38" s="62"/>
    </row>
    <row r="39" spans="3:3" ht="19.5" customHeight="1">
      <c r="C39" s="62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tabSelected="1" view="pageBreakPreview" topLeftCell="A4" zoomScale="70" zoomScaleNormal="100" zoomScaleSheetLayoutView="70" workbookViewId="0">
      <selection activeCell="H8" sqref="H8:H18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7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Październik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63" t="s">
        <v>430</v>
      </c>
      <c r="C4" s="63"/>
      <c r="D4" s="64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65" t="s">
        <v>444</v>
      </c>
      <c r="C6" s="65"/>
      <c r="D6" s="65"/>
      <c r="E6" s="65"/>
      <c r="F6" s="65"/>
      <c r="G6" s="66" t="s">
        <v>446</v>
      </c>
      <c r="H6" s="67"/>
      <c r="I6" s="67"/>
      <c r="J6" s="68"/>
      <c r="K6" s="48" t="s">
        <v>447</v>
      </c>
      <c r="L6" s="65" t="s">
        <v>445</v>
      </c>
      <c r="M6" s="65"/>
      <c r="N6" s="65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90.75" customHeight="1">
      <c r="A8" s="47"/>
      <c r="B8" s="56" t="s">
        <v>91</v>
      </c>
      <c r="C8" s="56" t="s">
        <v>269</v>
      </c>
      <c r="D8" s="54" t="s">
        <v>466</v>
      </c>
      <c r="E8" s="59" t="s">
        <v>467</v>
      </c>
      <c r="F8" s="49" t="s">
        <v>468</v>
      </c>
      <c r="G8" s="49">
        <v>130</v>
      </c>
      <c r="H8" s="69" t="s">
        <v>469</v>
      </c>
      <c r="I8" s="49">
        <v>10</v>
      </c>
      <c r="J8" s="49" t="s">
        <v>457</v>
      </c>
      <c r="K8" s="49"/>
      <c r="L8" s="49"/>
      <c r="M8" s="49"/>
      <c r="N8" s="49"/>
      <c r="O8" s="61">
        <v>44845</v>
      </c>
    </row>
    <row r="9" spans="1:15" ht="90.75" customHeight="1">
      <c r="A9" s="47"/>
      <c r="B9" s="56" t="s">
        <v>91</v>
      </c>
      <c r="C9" s="56" t="s">
        <v>269</v>
      </c>
      <c r="D9" s="54" t="s">
        <v>470</v>
      </c>
      <c r="E9" s="49" t="s">
        <v>471</v>
      </c>
      <c r="F9" s="49" t="s">
        <v>472</v>
      </c>
      <c r="G9" s="49">
        <v>49</v>
      </c>
      <c r="H9" s="69" t="s">
        <v>473</v>
      </c>
      <c r="I9" s="49"/>
      <c r="J9" s="49" t="s">
        <v>457</v>
      </c>
      <c r="K9" s="49"/>
      <c r="L9" s="49"/>
      <c r="M9" s="49"/>
      <c r="N9" s="49"/>
      <c r="O9" s="53">
        <v>44847</v>
      </c>
    </row>
    <row r="10" spans="1:15" ht="90.75" customHeight="1">
      <c r="A10" s="47"/>
      <c r="B10" s="56" t="s">
        <v>91</v>
      </c>
      <c r="C10" s="56" t="s">
        <v>269</v>
      </c>
      <c r="D10" s="54" t="s">
        <v>474</v>
      </c>
      <c r="E10" s="49" t="s">
        <v>475</v>
      </c>
      <c r="F10" s="49" t="s">
        <v>476</v>
      </c>
      <c r="G10" s="49">
        <v>118</v>
      </c>
      <c r="H10" s="69" t="s">
        <v>469</v>
      </c>
      <c r="I10" s="49"/>
      <c r="J10" s="49" t="s">
        <v>457</v>
      </c>
      <c r="K10" s="49"/>
      <c r="L10" s="49">
        <v>118</v>
      </c>
      <c r="M10" s="49" t="s">
        <v>477</v>
      </c>
      <c r="N10" s="49" t="s">
        <v>469</v>
      </c>
      <c r="O10" s="53">
        <v>44848</v>
      </c>
    </row>
    <row r="11" spans="1:15" ht="90.75" customHeight="1">
      <c r="B11" s="56" t="s">
        <v>91</v>
      </c>
      <c r="C11" s="56" t="s">
        <v>269</v>
      </c>
      <c r="D11" s="54" t="s">
        <v>478</v>
      </c>
      <c r="E11" s="52" t="s">
        <v>479</v>
      </c>
      <c r="F11" s="50" t="s">
        <v>480</v>
      </c>
      <c r="G11" s="49">
        <v>185</v>
      </c>
      <c r="H11" s="69" t="s">
        <v>469</v>
      </c>
      <c r="I11" s="49"/>
      <c r="J11" s="49" t="s">
        <v>457</v>
      </c>
      <c r="K11" s="49"/>
      <c r="L11" s="49">
        <v>185</v>
      </c>
      <c r="M11" s="49" t="s">
        <v>481</v>
      </c>
      <c r="N11" s="49" t="s">
        <v>469</v>
      </c>
      <c r="O11" s="53">
        <v>44848</v>
      </c>
    </row>
    <row r="12" spans="1:15" ht="90.75" customHeight="1">
      <c r="B12" s="56" t="s">
        <v>91</v>
      </c>
      <c r="C12" s="56" t="s">
        <v>269</v>
      </c>
      <c r="D12" s="54" t="s">
        <v>482</v>
      </c>
      <c r="E12" s="52" t="s">
        <v>483</v>
      </c>
      <c r="F12" s="50" t="s">
        <v>484</v>
      </c>
      <c r="G12" s="49">
        <v>640</v>
      </c>
      <c r="H12" s="69" t="s">
        <v>485</v>
      </c>
      <c r="I12" s="49"/>
      <c r="J12" s="49" t="s">
        <v>457</v>
      </c>
      <c r="K12" s="49"/>
      <c r="L12" s="49">
        <v>640</v>
      </c>
      <c r="M12" s="49" t="s">
        <v>486</v>
      </c>
      <c r="N12" s="49" t="s">
        <v>485</v>
      </c>
      <c r="O12" s="53">
        <v>44854</v>
      </c>
    </row>
    <row r="13" spans="1:15" ht="90.75" customHeight="1">
      <c r="B13" s="56" t="s">
        <v>91</v>
      </c>
      <c r="C13" s="56" t="s">
        <v>269</v>
      </c>
      <c r="D13" s="54" t="s">
        <v>487</v>
      </c>
      <c r="E13" s="59" t="s">
        <v>488</v>
      </c>
      <c r="F13" s="50" t="s">
        <v>459</v>
      </c>
      <c r="G13" s="49">
        <v>255</v>
      </c>
      <c r="H13" s="69" t="s">
        <v>489</v>
      </c>
      <c r="I13" s="49">
        <v>255</v>
      </c>
      <c r="J13" s="49" t="s">
        <v>490</v>
      </c>
      <c r="K13" s="49"/>
      <c r="L13" s="49"/>
      <c r="M13" s="49"/>
      <c r="N13" s="49"/>
      <c r="O13" s="53">
        <v>44854</v>
      </c>
    </row>
    <row r="14" spans="1:15" ht="90.75" customHeight="1">
      <c r="B14" s="56" t="s">
        <v>91</v>
      </c>
      <c r="C14" s="56" t="s">
        <v>269</v>
      </c>
      <c r="D14" s="54" t="s">
        <v>491</v>
      </c>
      <c r="E14" s="49" t="s">
        <v>492</v>
      </c>
      <c r="F14" s="49" t="s">
        <v>458</v>
      </c>
      <c r="G14" s="49">
        <v>875</v>
      </c>
      <c r="H14" s="69"/>
      <c r="I14" s="49"/>
      <c r="J14" s="49" t="s">
        <v>457</v>
      </c>
      <c r="K14" s="49"/>
      <c r="L14" s="49"/>
      <c r="M14" s="49"/>
      <c r="N14" s="49"/>
      <c r="O14" s="53">
        <v>44860</v>
      </c>
    </row>
    <row r="15" spans="1:15" ht="90.75" customHeight="1">
      <c r="B15" s="56" t="s">
        <v>91</v>
      </c>
      <c r="C15" s="56" t="s">
        <v>269</v>
      </c>
      <c r="D15" s="54" t="s">
        <v>493</v>
      </c>
      <c r="E15" s="52" t="s">
        <v>494</v>
      </c>
      <c r="F15" s="51" t="s">
        <v>495</v>
      </c>
      <c r="G15" s="57">
        <v>30</v>
      </c>
      <c r="H15" s="70" t="s">
        <v>496</v>
      </c>
      <c r="I15" s="57"/>
      <c r="J15" s="57" t="s">
        <v>457</v>
      </c>
      <c r="K15" s="51"/>
      <c r="L15" s="49"/>
      <c r="M15" s="49"/>
      <c r="N15" s="49"/>
      <c r="O15" s="53">
        <v>44860</v>
      </c>
    </row>
    <row r="16" spans="1:15" ht="90.75" customHeight="1">
      <c r="B16" s="56" t="s">
        <v>91</v>
      </c>
      <c r="C16" s="56" t="s">
        <v>269</v>
      </c>
      <c r="D16" s="54" t="s">
        <v>497</v>
      </c>
      <c r="E16" s="52" t="s">
        <v>498</v>
      </c>
      <c r="F16" s="50" t="s">
        <v>499</v>
      </c>
      <c r="G16" s="57">
        <v>45</v>
      </c>
      <c r="H16" s="70" t="s">
        <v>496</v>
      </c>
      <c r="I16" s="57"/>
      <c r="J16" s="57" t="s">
        <v>457</v>
      </c>
      <c r="K16" s="51"/>
      <c r="L16" s="49"/>
      <c r="M16" s="49"/>
      <c r="N16" s="49"/>
      <c r="O16" s="53">
        <v>44861</v>
      </c>
    </row>
    <row r="17" spans="2:15" ht="90.75" customHeight="1">
      <c r="B17" s="56" t="s">
        <v>91</v>
      </c>
      <c r="C17" s="56" t="s">
        <v>269</v>
      </c>
      <c r="D17" s="54" t="s">
        <v>500</v>
      </c>
      <c r="E17" s="51" t="s">
        <v>501</v>
      </c>
      <c r="F17" s="50" t="s">
        <v>459</v>
      </c>
      <c r="G17" s="57">
        <v>30</v>
      </c>
      <c r="H17" s="70" t="s">
        <v>496</v>
      </c>
      <c r="I17" s="57"/>
      <c r="J17" s="57" t="s">
        <v>457</v>
      </c>
      <c r="K17" s="57"/>
      <c r="L17" s="57"/>
      <c r="M17" s="57"/>
      <c r="N17" s="57"/>
      <c r="O17" s="53">
        <v>44862</v>
      </c>
    </row>
    <row r="18" spans="2:15" ht="90.75" customHeight="1">
      <c r="B18" s="56" t="s">
        <v>91</v>
      </c>
      <c r="C18" s="56" t="s">
        <v>269</v>
      </c>
      <c r="D18" s="54" t="s">
        <v>502</v>
      </c>
      <c r="E18" s="58" t="s">
        <v>503</v>
      </c>
      <c r="F18" s="50" t="s">
        <v>504</v>
      </c>
      <c r="G18" s="57">
        <v>84</v>
      </c>
      <c r="H18" s="70" t="s">
        <v>505</v>
      </c>
      <c r="I18" s="57"/>
      <c r="J18" s="57" t="s">
        <v>457</v>
      </c>
      <c r="K18" s="57"/>
      <c r="L18" s="57">
        <v>84</v>
      </c>
      <c r="M18" s="57" t="s">
        <v>506</v>
      </c>
      <c r="N18" s="57"/>
      <c r="O18" s="53">
        <v>44865</v>
      </c>
    </row>
    <row r="19" spans="2:15" ht="90.75" customHeight="1">
      <c r="B19" s="56" t="s">
        <v>91</v>
      </c>
      <c r="C19" s="56" t="s">
        <v>269</v>
      </c>
      <c r="D19" s="60" t="s">
        <v>456</v>
      </c>
      <c r="E19" s="52">
        <v>10778878</v>
      </c>
      <c r="F19" s="51" t="s">
        <v>455</v>
      </c>
      <c r="G19" s="57">
        <v>0</v>
      </c>
      <c r="H19" s="57">
        <v>0</v>
      </c>
      <c r="I19" s="57">
        <v>0</v>
      </c>
      <c r="J19" s="57">
        <v>0</v>
      </c>
      <c r="K19" s="57">
        <v>12</v>
      </c>
      <c r="L19" s="57">
        <v>0</v>
      </c>
      <c r="M19" s="57">
        <v>0</v>
      </c>
      <c r="N19" s="57">
        <v>0</v>
      </c>
      <c r="O19" s="53">
        <v>44862</v>
      </c>
    </row>
    <row r="20" spans="2:15" ht="90.75" customHeight="1">
      <c r="B20" s="56" t="s">
        <v>91</v>
      </c>
      <c r="C20" s="56" t="s">
        <v>269</v>
      </c>
      <c r="D20" s="54" t="s">
        <v>463</v>
      </c>
      <c r="E20" s="52" t="s">
        <v>464</v>
      </c>
      <c r="F20" s="50" t="s">
        <v>465</v>
      </c>
      <c r="G20" s="57">
        <v>0</v>
      </c>
      <c r="H20" s="57">
        <v>0</v>
      </c>
      <c r="I20" s="57">
        <v>0</v>
      </c>
      <c r="J20" s="57">
        <v>0</v>
      </c>
      <c r="K20" s="57">
        <v>2</v>
      </c>
      <c r="L20" s="57">
        <v>0</v>
      </c>
      <c r="M20" s="57">
        <v>0</v>
      </c>
      <c r="N20" s="57">
        <v>0</v>
      </c>
      <c r="O20" s="55">
        <v>44862</v>
      </c>
    </row>
    <row r="21" spans="2:15" ht="90.75" customHeight="1">
      <c r="B21" s="30" t="s">
        <v>91</v>
      </c>
      <c r="C21" s="30" t="s">
        <v>269</v>
      </c>
      <c r="D21" s="39" t="s">
        <v>460</v>
      </c>
      <c r="E21" s="32" t="s">
        <v>461</v>
      </c>
      <c r="F21" s="30" t="s">
        <v>462</v>
      </c>
      <c r="G21" s="30">
        <v>0</v>
      </c>
      <c r="H21" s="30">
        <v>0</v>
      </c>
      <c r="I21" s="30">
        <v>0</v>
      </c>
      <c r="J21" s="30">
        <v>0</v>
      </c>
      <c r="K21" s="30">
        <v>1</v>
      </c>
      <c r="L21" s="30">
        <v>0</v>
      </c>
      <c r="M21" s="30">
        <v>0</v>
      </c>
      <c r="N21" s="30">
        <v>0</v>
      </c>
      <c r="O21" s="55">
        <v>44867</v>
      </c>
    </row>
    <row r="22" spans="2:15" ht="90.75" customHeight="1">
      <c r="B22" s="30" t="s">
        <v>91</v>
      </c>
      <c r="C22" s="30" t="s">
        <v>269</v>
      </c>
      <c r="D22" s="39" t="s">
        <v>507</v>
      </c>
      <c r="E22" s="32">
        <v>362027910</v>
      </c>
      <c r="F22" s="30" t="s">
        <v>459</v>
      </c>
      <c r="G22" s="30">
        <v>0</v>
      </c>
      <c r="H22" s="30">
        <v>0</v>
      </c>
      <c r="I22" s="30">
        <v>0</v>
      </c>
      <c r="J22" s="30">
        <v>0</v>
      </c>
      <c r="K22" s="30">
        <v>40</v>
      </c>
      <c r="L22" s="30">
        <v>0</v>
      </c>
      <c r="M22" s="30">
        <v>0</v>
      </c>
      <c r="N22" s="30">
        <v>0</v>
      </c>
      <c r="O22" s="55">
        <v>44862</v>
      </c>
    </row>
    <row r="23" spans="2:15" ht="90.75" customHeight="1">
      <c r="B23" s="30" t="s">
        <v>91</v>
      </c>
      <c r="C23" s="30" t="s">
        <v>269</v>
      </c>
      <c r="D23" s="39" t="s">
        <v>508</v>
      </c>
      <c r="E23" s="32" t="s">
        <v>509</v>
      </c>
      <c r="F23" s="30" t="s">
        <v>462</v>
      </c>
      <c r="G23" s="30">
        <v>0</v>
      </c>
      <c r="H23" s="30">
        <v>0</v>
      </c>
      <c r="I23" s="30">
        <v>0</v>
      </c>
      <c r="J23" s="30">
        <v>0</v>
      </c>
      <c r="K23" s="30">
        <v>1</v>
      </c>
      <c r="L23" s="30">
        <v>0</v>
      </c>
      <c r="M23" s="30">
        <v>0</v>
      </c>
      <c r="N23" s="30">
        <v>0</v>
      </c>
      <c r="O23" s="55">
        <v>44862</v>
      </c>
    </row>
    <row r="24" spans="2:15" ht="90.75" customHeight="1">
      <c r="K24" s="30">
        <f>SUM(K19:K23)</f>
        <v>56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2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Anna Grochowska</cp:lastModifiedBy>
  <cp:lastPrinted>2020-08-05T11:40:15Z</cp:lastPrinted>
  <dcterms:created xsi:type="dcterms:W3CDTF">2009-02-04T13:09:17Z</dcterms:created>
  <dcterms:modified xsi:type="dcterms:W3CDTF">2022-12-09T12:50:15Z</dcterms:modified>
</cp:coreProperties>
</file>
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81FDE86B-56AA-43BB-BA5F-210046ED691E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5" l="1"/>
  <c r="G26" i="5"/>
  <c r="I26" i="5"/>
  <c r="J26" i="5"/>
  <c r="K26" i="5"/>
  <c r="R47" i="5" l="1"/>
  <c r="E2" i="5"/>
  <c r="D2" i="5"/>
  <c r="C2" i="5" l="1"/>
</calcChain>
</file>

<file path=xl/sharedStrings.xml><?xml version="1.0" encoding="utf-8"?>
<sst xmlns="http://schemas.openxmlformats.org/spreadsheetml/2006/main" count="563" uniqueCount="511">
  <si>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</si>
  <si>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</si>
  <si>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</si>
  <si>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</si>
  <si>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</si>
  <si>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</si>
  <si>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</si>
  <si>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</si>
  <si>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</si>
  <si>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</si>
  <si>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</si>
  <si>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</si>
  <si>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</si>
  <si>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</si>
  <si>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</si>
  <si>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</si>
  <si>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</si>
  <si>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</si>
  <si>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</si>
  <si>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</si>
  <si>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</si>
  <si>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</si>
  <si>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</si>
  <si>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</si>
  <si>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</si>
  <si>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</si>
  <si>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</si>
  <si>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</si>
  <si>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</si>
  <si>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</si>
  <si>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</si>
  <si>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</si>
  <si>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</si>
  <si>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</si>
  <si>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</si>
  <si>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</si>
  <si>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</si>
  <si>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</si>
  <si>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</si>
  <si>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</si>
  <si>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</si>
  <si>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</si>
  <si>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</si>
  <si>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</si>
  <si>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</si>
  <si>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</si>
  <si>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</si>
  <si>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</si>
  <si>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</si>
  <si>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</si>
  <si>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</si>
  <si>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</si>
  <si>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</si>
  <si>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</si>
  <si>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</si>
  <si>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</si>
  <si>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</si>
  <si>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</si>
  <si>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</si>
  <si>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</si>
  <si>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</si>
  <si>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</si>
  <si>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</si>
  <si>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</si>
  <si>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</si>
  <si>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</si>
  <si>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</si>
  <si>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</si>
  <si>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</si>
  <si>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</si>
  <si>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</si>
  <si>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</si>
  <si>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</si>
  <si>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</si>
  <si>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</si>
  <si>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</si>
  <si>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</si>
  <si>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</si>
  <si>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</si>
  <si>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</si>
  <si>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</si>
  <si>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</si>
  <si>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</si>
  <si>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</si>
  <si>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</si>
  <si>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</si>
  <si>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</si>
  <si>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</si>
  <si>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</si>
  <si>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</si>
  <si>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</si>
  <si>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</si>
  <si>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</si>
  <si>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</si>
  <si>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</si>
  <si>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</si>
  <si>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</si>
  <si>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</si>
  <si>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</si>
  <si>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</si>
  <si>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</si>
  <si>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</si>
  <si>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</si>
  <si>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</si>
  <si>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</si>
  <si>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</si>
  <si>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</si>
  <si>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</si>
  <si>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</si>
  <si>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</si>
  <si>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</si>
  <si>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</si>
  <si>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</si>
  <si>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</si>
  <si>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</si>
  <si>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</si>
  <si>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</si>
  <si>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</si>
  <si>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</si>
  <si>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</si>
  <si>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</si>
  <si>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</si>
  <si>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</si>
  <si>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</si>
  <si>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</si>
  <si>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</si>
  <si>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</si>
  <si>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</si>
  <si>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</si>
  <si>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</si>
  <si>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</si>
  <si>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</si>
  <si>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</si>
  <si>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</si>
  <si>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</si>
  <si>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</si>
  <si>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</si>
  <si>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</si>
  <si>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</si>
  <si>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</si>
  <si>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</si>
  <si>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</si>
  <si>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</si>
  <si>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</si>
  <si>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</si>
  <si>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</si>
  <si>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</si>
  <si>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</si>
  <si>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</si>
  <si>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</si>
  <si>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</si>
  <si>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</si>
  <si>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</si>
  <si>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</si>
  <si>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</si>
  <si>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</si>
  <si>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</si>
  <si>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</si>
  <si>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</si>
  <si>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</si>
  <si>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</si>
  <si>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</si>
  <si>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</si>
  <si>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</si>
  <si>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</si>
  <si>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</si>
  <si>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</si>
  <si>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</si>
  <si>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</si>
  <si>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</si>
  <si>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</si>
  <si>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</si>
  <si>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</si>
  <si>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</si>
  <si>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</si>
  <si>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</si>
  <si>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</si>
  <si>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</si>
  <si>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</si>
  <si>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</si>
  <si>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</si>
  <si>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</si>
  <si>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</si>
  <si>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</si>
  <si>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</si>
  <si>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</si>
  <si>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</si>
  <si>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</si>
  <si>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</si>
  <si>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</si>
  <si>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</si>
  <si>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</si>
  <si>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</si>
  <si>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</si>
  <si>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</si>
  <si>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</si>
  <si>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</si>
  <si>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</si>
  <si>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</si>
  <si>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</si>
  <si>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</si>
  <si>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</si>
  <si>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</si>
  <si>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</si>
  <si>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</si>
  <si>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</si>
  <si>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</si>
  <si>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</si>
  <si>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</si>
  <si>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</si>
  <si>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</si>
  <si>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</si>
  <si>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</si>
  <si>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</si>
  <si>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</si>
  <si>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</si>
  <si>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</si>
  <si>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</si>
  <si>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</si>
  <si>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</si>
  <si>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</si>
  <si>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</si>
  <si>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</si>
  <si>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</si>
  <si>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</si>
  <si>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</si>
  <si>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</si>
  <si>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</si>
  <si>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</si>
  <si>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</si>
  <si>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</si>
  <si>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</si>
  <si>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</si>
  <si>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</si>
  <si>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</si>
  <si>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</si>
  <si>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</si>
  <si>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</si>
  <si>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</si>
  <si>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</si>
  <si>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</si>
  <si>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</si>
  <si>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</si>
  <si>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</si>
  <si>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</si>
  <si>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</si>
  <si>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</si>
  <si>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</si>
  <si>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</si>
  <si>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</si>
  <si>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</si>
  <si>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</si>
  <si>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</si>
  <si>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</si>
  <si>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</si>
  <si>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</si>
  <si>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</si>
  <si>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</si>
  <si>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</si>
  <si>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</si>
  <si>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</si>
  <si>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</si>
  <si>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</si>
  <si>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</si>
  <si>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</si>
  <si>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</si>
  <si>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</si>
  <si>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</si>
  <si>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</si>
  <si>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</si>
  <si>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</si>
  <si>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</si>
  <si>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</si>
  <si>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</si>
  <si>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</si>
  <si>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</si>
  <si>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</si>
  <si>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</si>
  <si>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</si>
  <si>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</si>
  <si>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</si>
  <si>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</si>
  <si>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</si>
  <si>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</si>
  <si>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</si>
  <si>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</si>
  <si>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</si>
  <si>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</si>
  <si>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</si>
  <si>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</si>
  <si>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</si>
  <si>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</si>
  <si>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</si>
  <si>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</si>
  <si>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</si>
  <si>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</si>
  <si>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</si>
  <si>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</si>
  <si>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</si>
  <si>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</si>
  <si>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</si>
  <si>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</si>
  <si>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</si>
  <si>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</si>
  <si>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</si>
  <si>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</si>
  <si>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</si>
  <si>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</si>
  <si>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</si>
  <si>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</si>
  <si>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</si>
  <si>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</si>
  <si>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</si>
  <si>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</si>
  <si>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</si>
  <si>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</si>
  <si>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</si>
  <si>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</si>
  <si>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</si>
  <si>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</si>
  <si>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</si>
  <si>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</si>
  <si>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</si>
  <si>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</si>
  <si>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</si>
  <si>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</si>
  <si>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</si>
  <si>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</si>
  <si>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</si>
  <si>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</si>
  <si>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</si>
  <si>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</si>
  <si>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</si>
  <si>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</si>
  <si>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</si>
  <si>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</si>
  <si>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</si>
  <si>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</si>
  <si>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</si>
  <si>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</si>
  <si>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</si>
  <si>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</si>
  <si>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</si>
  <si>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</si>
  <si>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</si>
  <si>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</si>
  <si>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</si>
  <si>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</si>
  <si>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</si>
  <si>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</si>
  <si>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</si>
  <si>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</si>
  <si>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</si>
  <si>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</si>
  <si>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</si>
  <si>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</si>
  <si>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</si>
  <si>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</si>
  <si>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</si>
  <si>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</si>
  <si>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</si>
  <si>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</si>
  <si>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</si>
  <si>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</si>
  <si>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</si>
  <si>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</si>
  <si>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</si>
  <si>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</si>
  <si>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</si>
  <si>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</si>
  <si>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</si>
  <si>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</si>
  <si>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</si>
  <si>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</si>
  <si>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</si>
  <si>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</si>
  <si>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</si>
  <si>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</si>
  <si>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</si>
  <si>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</si>
  <si>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</si>
  <si>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</si>
  <si>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</si>
  <si>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</si>
  <si>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</si>
  <si>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</si>
  <si>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</si>
  <si>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</si>
  <si>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</si>
  <si>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</si>
  <si>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</si>
  <si>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</si>
  <si>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</si>
  <si>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</si>
  <si>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</si>
  <si>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</si>
  <si>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</si>
  <si>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</si>
  <si>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</si>
  <si>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</si>
  <si>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</si>
  <si>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</si>
  <si>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</si>
  <si>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</si>
  <si>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</si>
  <si>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</si>
  <si>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</si>
  <si>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</si>
  <si>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</si>
  <si>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</si>
  <si>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</si>
  <si>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</si>
  <si>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</si>
  <si>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</si>
  <si>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</si>
  <si>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</si>
  <si>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</si>
  <si>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</si>
  <si>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</si>
  <si>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</si>
  <si>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</si>
  <si>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</si>
  <si>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</si>
  <si>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</si>
  <si>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</si>
  <si>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</si>
  <si>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</si>
  <si>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</si>
  <si>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</si>
  <si>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</si>
  <si>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</si>
  <si>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</si>
  <si>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</si>
  <si>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</si>
  <si>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</si>
  <si>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</si>
  <si>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</si>
  <si>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</si>
  <si>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</si>
  <si>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</si>
  <si>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</si>
  <si>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</si>
  <si>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</si>
  <si>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</si>
  <si>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</si>
  <si>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</si>
  <si>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</si>
  <si>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</si>
  <si>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</si>
  <si>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</si>
  <si>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</si>
  <si>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</si>
  <si>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</si>
  <si>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4771Z</t>
  </si>
  <si>
    <t xml:space="preserve">  010778878</t>
  </si>
  <si>
    <t>140718341</t>
  </si>
  <si>
    <t>6120Z</t>
  </si>
  <si>
    <t>tak</t>
  </si>
  <si>
    <t>4791Z</t>
  </si>
  <si>
    <t>NIE</t>
  </si>
  <si>
    <t xml:space="preserve">DURA-LINE Sp. z o.o., ul. Ernesta Kościńskiego  23, 96-502 Sochaczew </t>
  </si>
  <si>
    <t>22.21</t>
  </si>
  <si>
    <t xml:space="preserve">tak </t>
  </si>
  <si>
    <t>6820Z</t>
  </si>
  <si>
    <t>6312Z</t>
  </si>
  <si>
    <t>Barbora Polska Sp. z o.o.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</si>
  <si>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</si>
  <si>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</si>
  <si>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</si>
  <si>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25.73</t>
  </si>
  <si>
    <t>Sumo Logic Poland Sp. z o.o.                                ul.Przyokopowa 33                                                         01-208  Warszawa</t>
  </si>
  <si>
    <t>6201Z</t>
  </si>
  <si>
    <t>05-08.2024 r.</t>
  </si>
  <si>
    <t>Tema Retail Sp. z o.o.                                      Al. Jerozolimskie 148                                            02-326 Warszawa</t>
  </si>
  <si>
    <t>142742958</t>
  </si>
  <si>
    <t>05-07.2024 r.</t>
  </si>
  <si>
    <t xml:space="preserve">Pracodawca poinformował o realizacji outplacmentu przez firme zewnętrzną Realizowane będą formy wsparcia takie jak; pośrednictwo pracy, poradnictwo pracy oraz szkolenia </t>
  </si>
  <si>
    <t>Learnetic S.A.                                                    ul. Azymuntalna 9                                            80-298 Gdańsk</t>
  </si>
  <si>
    <t>221121155</t>
  </si>
  <si>
    <t>5829Z</t>
  </si>
  <si>
    <t>05-06.2024 r.</t>
  </si>
  <si>
    <t xml:space="preserve">BNP Paribas Bank Polska S.A.                            ul. M. Kasprzaka  10/16                                              01-211 Warszawa 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</si>
  <si>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</si>
  <si>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H&amp;M Hennes &amp; Mauritz  Sp. z o.o.                              Al. Jerozolimskie 44                                                                00-024 Warszawa</t>
  </si>
  <si>
    <t>015292063</t>
  </si>
  <si>
    <t xml:space="preserve">  015644697</t>
  </si>
  <si>
    <t>6619Z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</si>
  <si>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</si>
  <si>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Oriflame Poland Sp. z o.o.                           ul.Wołowska 22                                                            02-675 Warszawa</t>
  </si>
  <si>
    <t>002197604</t>
  </si>
  <si>
    <t>4645Z</t>
  </si>
  <si>
    <t xml:space="preserve">29.05.2024 r. </t>
  </si>
  <si>
    <t>WOŁOMIŃSKI</t>
  </si>
  <si>
    <t>Learnetic SA. A.</t>
  </si>
  <si>
    <t>24.05.2024 r. - 15.06.2024 r.</t>
  </si>
  <si>
    <t>B&amp;M CLOTHING COMPANY Sp. z o.o.</t>
  </si>
  <si>
    <t>00509479600000</t>
  </si>
  <si>
    <t>1413Z</t>
  </si>
  <si>
    <t>od dnia ogłoszenia upadłości</t>
  </si>
  <si>
    <t>ALTHA POWDER METALLURGY Sp. z o.o.</t>
  </si>
  <si>
    <t>672882519</t>
  </si>
  <si>
    <t>2550Z</t>
  </si>
  <si>
    <t xml:space="preserve">Wirtualna Polska Media Spółka Akcyjna, ul. Zwirki i Wgury 16, 02-092  Warszawa </t>
  </si>
  <si>
    <t>METRO PROPERTIES Sp. z o.o, Al. Krakowska 61, 02-183 Warszawa</t>
  </si>
  <si>
    <t>NOTUS Finanse S.A., ul. Puławska 2, 02-566 Warszawa</t>
  </si>
  <si>
    <t>HYDOMAT TOOLS SP. Z O.O.             UL. CIESZYŃSKA 23G                           43-170 ŁAZISKA GÓRNA                      ZAKŁAD PRODUKCYJNY                       UL. WĄSKA 3 , 05-552 ŁAZY</t>
  </si>
  <si>
    <t>mazowieckie</t>
  </si>
  <si>
    <t>VEGA MARZENA CZERNEK</t>
  </si>
  <si>
    <t>29-04-2024 
do 31.08.2024</t>
  </si>
  <si>
    <t>TAK</t>
  </si>
  <si>
    <t>Zwalniani pracownicy wyrazili wolę zatrudnienia u innego pracodawcy oraz
zatrudnienie przy innej diałalności u danego pracodawcy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</si>
</sst>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  <numFmt numFmtId="166" formatCode="yyyy/mm/dd"/>
    <numFmt numFmtId="167" formatCode="[$-415]yyyy\-mm\-dd"/>
  </numFmts>
  <fonts count="27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charset val="238"/>
    </font>
    <font>
      <u/>
      <sz val="10"/>
      <color theme="10"/>
      <name val="Arial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</font>
    <font>
      <sz val="10"/>
      <color rgb="FF3E3D40"/>
      <name val="Arial"/>
      <family val="2"/>
      <charset val="238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5050"/>
        <bgColor rgb="FFFF505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5" borderId="0" applyNumberFormat="0" applyFont="0" applyBorder="0" applyAlignment="0" applyProtection="0"/>
    <xf numFmtId="0" fontId="17" fillId="5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4" fillId="0" borderId="0"/>
  </cellStyleXfs>
  <cellXfs count="95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14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2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5" xfId="21" applyFont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3" fillId="0" borderId="15" xfId="2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49" fontId="23" fillId="0" borderId="15" xfId="2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23" fillId="0" borderId="15" xfId="21" applyNumberFormat="1" applyFont="1" applyBorder="1" applyAlignment="1">
      <alignment horizontal="center" vertical="center"/>
    </xf>
    <xf numFmtId="0" fontId="23" fillId="0" borderId="16" xfId="2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12" fontId="2" fillId="0" borderId="2" xfId="2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7" fontId="11" fillId="0" borderId="15" xfId="4" applyNumberFormat="1" applyBorder="1" applyAlignment="1">
      <alignment horizontal="center" vertical="center"/>
    </xf>
  </cellXfs>
  <cellStyles count="22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Normalny" xfId="0" builtinId="0"/>
    <cellStyle name="Normalny 2" xfId="1" xr:uid="{00000000-0005-0000-0000-000004000000}"/>
    <cellStyle name="Normalny 2 2" xfId="15" xr:uid="{B98047FA-D127-4765-903D-EA40A4F2E65C}"/>
    <cellStyle name="Normalny 3" xfId="9" xr:uid="{8A5988CB-BBF9-435C-BF6D-3EAB49A0F372}"/>
    <cellStyle name="Normalny 4" xfId="10" xr:uid="{1F413BD6-3A7A-46D6-ABF3-AE48C92DCFA6}"/>
    <cellStyle name="Normalny 5" xfId="21" xr:uid="{4D803DC8-74B2-44E7-A647-D6007EE348BB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285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85" t="s">
        <v>438</v>
      </c>
      <c r="D22" s="19"/>
    </row>
    <row r="23" spans="3:6" ht="26">
      <c r="C23" s="85"/>
      <c r="D23" s="20" t="s">
        <v>280</v>
      </c>
    </row>
    <row r="24" spans="3:6" ht="28.5" customHeight="1">
      <c r="C24" s="85"/>
    </row>
    <row r="25" spans="3:6">
      <c r="C25" s="22"/>
    </row>
    <row r="26" spans="3:6">
      <c r="C26" s="85" t="s">
        <v>439</v>
      </c>
    </row>
    <row r="27" spans="3:6">
      <c r="C27" s="85"/>
    </row>
    <row r="28" spans="3:6" ht="23.25" customHeight="1">
      <c r="C28" s="85"/>
    </row>
    <row r="29" spans="3:6">
      <c r="C29" s="22"/>
    </row>
    <row r="30" spans="3:6" ht="12.75" customHeight="1">
      <c r="C30" s="85" t="s">
        <v>440</v>
      </c>
    </row>
    <row r="31" spans="3:6" ht="12.75" customHeight="1">
      <c r="C31" s="85"/>
    </row>
    <row r="32" spans="3:6" ht="21.75" customHeight="1">
      <c r="C32" s="85"/>
    </row>
    <row r="33" spans="3:3" ht="14.25" customHeight="1">
      <c r="C33" s="85"/>
    </row>
    <row r="34" spans="3:3">
      <c r="C34" s="85"/>
    </row>
    <row r="35" spans="3:3">
      <c r="C35" s="85"/>
    </row>
    <row r="37" spans="3:3" ht="12.75" customHeight="1">
      <c r="C37" s="85" t="s">
        <v>448</v>
      </c>
    </row>
    <row r="38" spans="3:3" ht="12.75" customHeight="1">
      <c r="C38" s="85"/>
    </row>
    <row r="39" spans="3:3" ht="19.5" customHeight="1">
      <c r="C39" s="85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1"/>
  <sheetViews>
    <sheetView tabSelected="1" topLeftCell="A4" zoomScale="80" zoomScaleNormal="80" zoomScaleSheetLayoutView="100" workbookViewId="0">
      <selection activeCell="Q8" sqref="Q8"/>
    </sheetView>
  </sheetViews>
  <sheetFormatPr defaultColWidth="9.1796875" defaultRowHeight="90.75" customHeight="1"/>
  <cols>
    <col min="1" max="1" width="1.81640625" style="31" customWidth="1"/>
    <col min="2" max="3" width="21.54296875" style="33" customWidth="1"/>
    <col min="4" max="4" width="40" style="33" customWidth="1"/>
    <col min="5" max="5" width="25.54296875" style="70" customWidth="1"/>
    <col min="6" max="6" width="13.1796875" style="67" customWidth="1"/>
    <col min="7" max="7" width="14.453125" style="33" customWidth="1"/>
    <col min="8" max="8" width="29.1796875" style="33" customWidth="1"/>
    <col min="9" max="9" width="17.26953125" style="74" customWidth="1"/>
    <col min="10" max="10" width="14.453125" style="33" customWidth="1"/>
    <col min="11" max="11" width="26.7265625" style="74" customWidth="1"/>
    <col min="12" max="12" width="16.81640625" style="33" customWidth="1"/>
    <col min="13" max="13" width="24.81640625" style="33" customWidth="1"/>
    <col min="14" max="14" width="17.7265625" style="33" customWidth="1"/>
    <col min="15" max="15" width="23.7265625" style="33" customWidth="1"/>
    <col min="16" max="16" width="34.81640625" style="31" customWidth="1"/>
    <col min="17" max="16384" width="9.1796875" style="31"/>
  </cols>
  <sheetData>
    <row r="1" spans="2:15" ht="20.149999999999999" customHeight="1">
      <c r="D1" s="34"/>
      <c r="F1" s="68"/>
    </row>
    <row r="2" spans="2:15" ht="20.149999999999999" customHeight="1">
      <c r="B2" s="46" t="s">
        <v>2</v>
      </c>
      <c r="C2" s="35" t="str">
        <f>'Dane podstawowe'!$D$6</f>
        <v>MAZOWIECKIE</v>
      </c>
      <c r="D2" s="36" t="str">
        <f>'Dane podstawowe'!D7</f>
        <v xml:space="preserve">Maj </v>
      </c>
      <c r="E2" s="71">
        <f>'Dane podstawowe'!D8</f>
        <v>2024</v>
      </c>
      <c r="F2" s="66"/>
      <c r="G2" s="34"/>
      <c r="H2" s="34"/>
      <c r="I2" s="75"/>
    </row>
    <row r="3" spans="2:15" ht="20.149999999999999" customHeight="1">
      <c r="E3" s="72"/>
    </row>
    <row r="4" spans="2:15" ht="20.149999999999999" customHeight="1">
      <c r="B4" s="86" t="s">
        <v>430</v>
      </c>
      <c r="C4" s="86"/>
      <c r="D4" s="87"/>
      <c r="E4" s="72"/>
    </row>
    <row r="5" spans="2:15" ht="20.149999999999999" customHeight="1">
      <c r="B5" s="37"/>
      <c r="C5" s="37"/>
      <c r="D5" s="38"/>
      <c r="E5" s="72"/>
    </row>
    <row r="6" spans="2:15" ht="90.75" customHeight="1">
      <c r="B6" s="88" t="s">
        <v>444</v>
      </c>
      <c r="C6" s="88"/>
      <c r="D6" s="88"/>
      <c r="E6" s="88"/>
      <c r="F6" s="88"/>
      <c r="G6" s="89" t="s">
        <v>446</v>
      </c>
      <c r="H6" s="90"/>
      <c r="I6" s="90"/>
      <c r="J6" s="91"/>
      <c r="K6" s="46" t="s">
        <v>447</v>
      </c>
      <c r="L6" s="88" t="s">
        <v>445</v>
      </c>
      <c r="M6" s="88"/>
      <c r="N6" s="88"/>
      <c r="O6" s="39"/>
    </row>
    <row r="7" spans="2:15" ht="90.75" customHeight="1">
      <c r="B7" s="39" t="s">
        <v>1</v>
      </c>
      <c r="C7" s="39" t="s">
        <v>428</v>
      </c>
      <c r="D7" s="39" t="s">
        <v>0</v>
      </c>
      <c r="E7" s="40" t="s">
        <v>466</v>
      </c>
      <c r="F7" s="39" t="s">
        <v>467</v>
      </c>
      <c r="G7" s="39" t="s">
        <v>432</v>
      </c>
      <c r="H7" s="39" t="s">
        <v>435</v>
      </c>
      <c r="I7" s="39" t="s">
        <v>433</v>
      </c>
      <c r="J7" s="39" t="s">
        <v>434</v>
      </c>
      <c r="K7" s="39" t="s">
        <v>431</v>
      </c>
      <c r="L7" s="39" t="s">
        <v>442</v>
      </c>
      <c r="M7" s="39" t="s">
        <v>441</v>
      </c>
      <c r="N7" s="39" t="s">
        <v>443</v>
      </c>
      <c r="O7" s="39" t="s">
        <v>468</v>
      </c>
    </row>
    <row r="8" spans="2:15" ht="90.75" customHeight="1">
      <c r="B8" s="82" t="s">
        <v>51</v>
      </c>
      <c r="C8" s="82" t="s">
        <v>269</v>
      </c>
      <c r="D8" s="82" t="s">
        <v>507</v>
      </c>
      <c r="E8" s="83">
        <v>672945125</v>
      </c>
      <c r="F8" s="82">
        <v>1729</v>
      </c>
      <c r="G8" s="84">
        <v>0</v>
      </c>
      <c r="H8" s="84" t="s">
        <v>508</v>
      </c>
      <c r="I8" s="84">
        <v>0</v>
      </c>
      <c r="J8" s="84" t="s">
        <v>509</v>
      </c>
      <c r="K8" s="84">
        <v>4</v>
      </c>
      <c r="L8" s="82">
        <v>4</v>
      </c>
      <c r="M8" s="82" t="s">
        <v>510</v>
      </c>
      <c r="N8" s="82" t="s">
        <v>508</v>
      </c>
      <c r="O8" s="94">
        <v>45411</v>
      </c>
    </row>
    <row r="9" spans="2:15" s="51" customFormat="1" ht="89.25" customHeight="1">
      <c r="B9" s="52" t="s">
        <v>68</v>
      </c>
      <c r="C9" s="52" t="s">
        <v>269</v>
      </c>
      <c r="D9" s="82" t="s">
        <v>505</v>
      </c>
      <c r="E9" s="56">
        <v>146921511</v>
      </c>
      <c r="F9" s="57" t="s">
        <v>469</v>
      </c>
      <c r="G9" s="53">
        <v>10</v>
      </c>
      <c r="H9" s="54">
        <v>45473</v>
      </c>
      <c r="I9" s="53"/>
      <c r="J9" s="53" t="s">
        <v>459</v>
      </c>
      <c r="K9" s="53">
        <v>0</v>
      </c>
      <c r="L9" s="52"/>
      <c r="M9" s="52"/>
      <c r="N9" s="52"/>
      <c r="O9" s="55">
        <v>45422</v>
      </c>
    </row>
    <row r="10" spans="2:15" s="33" customFormat="1" ht="43.5" customHeight="1">
      <c r="B10" s="43" t="s">
        <v>78</v>
      </c>
      <c r="C10" s="52" t="s">
        <v>269</v>
      </c>
      <c r="D10" s="49" t="s">
        <v>460</v>
      </c>
      <c r="E10" s="47">
        <v>38765258200000</v>
      </c>
      <c r="F10" s="47" t="s">
        <v>461</v>
      </c>
      <c r="G10" s="92"/>
      <c r="H10" s="48"/>
      <c r="I10" s="93"/>
      <c r="J10" s="44"/>
      <c r="K10" s="44">
        <v>6</v>
      </c>
      <c r="L10" s="44"/>
      <c r="M10" s="44"/>
      <c r="N10" s="44"/>
      <c r="O10" s="65"/>
    </row>
    <row r="11" spans="2:15" ht="43.5" customHeight="1">
      <c r="B11" s="50" t="s">
        <v>89</v>
      </c>
      <c r="C11" s="52" t="s">
        <v>506</v>
      </c>
      <c r="D11" s="50" t="s">
        <v>495</v>
      </c>
      <c r="E11" s="78" t="s">
        <v>496</v>
      </c>
      <c r="F11" s="50" t="s">
        <v>497</v>
      </c>
      <c r="G11" s="50">
        <v>123</v>
      </c>
      <c r="H11" s="80" t="s">
        <v>498</v>
      </c>
      <c r="I11" s="81">
        <v>0</v>
      </c>
      <c r="J11" s="81" t="s">
        <v>457</v>
      </c>
      <c r="K11" s="81">
        <v>0</v>
      </c>
      <c r="L11" s="81">
        <v>0</v>
      </c>
      <c r="M11" s="81"/>
      <c r="N11" s="81"/>
      <c r="O11" s="64">
        <v>45414</v>
      </c>
    </row>
    <row r="12" spans="2:15" ht="43.5" customHeight="1">
      <c r="B12" s="50" t="s">
        <v>89</v>
      </c>
      <c r="C12" s="52" t="s">
        <v>506</v>
      </c>
      <c r="D12" s="50" t="s">
        <v>499</v>
      </c>
      <c r="E12" s="78" t="s">
        <v>500</v>
      </c>
      <c r="F12" s="50" t="s">
        <v>501</v>
      </c>
      <c r="G12" s="50">
        <v>33</v>
      </c>
      <c r="H12" s="80">
        <v>45440</v>
      </c>
      <c r="I12" s="81">
        <v>0</v>
      </c>
      <c r="J12" s="81" t="s">
        <v>457</v>
      </c>
      <c r="K12" s="81">
        <v>33</v>
      </c>
      <c r="L12" s="81">
        <v>0</v>
      </c>
      <c r="M12" s="81"/>
      <c r="N12" s="81"/>
      <c r="O12" s="64">
        <v>45440</v>
      </c>
    </row>
    <row r="13" spans="2:15" ht="43.5" customHeight="1">
      <c r="B13" s="43" t="s">
        <v>91</v>
      </c>
      <c r="C13" s="52" t="s">
        <v>269</v>
      </c>
      <c r="D13" s="49" t="s">
        <v>470</v>
      </c>
      <c r="E13" s="43">
        <v>366177829</v>
      </c>
      <c r="F13" s="43" t="s">
        <v>471</v>
      </c>
      <c r="G13" s="44">
        <v>33</v>
      </c>
      <c r="H13" s="45" t="s">
        <v>472</v>
      </c>
      <c r="I13" s="44">
        <v>0</v>
      </c>
      <c r="J13" s="44" t="s">
        <v>462</v>
      </c>
      <c r="K13" s="58"/>
      <c r="L13" s="58"/>
      <c r="M13" s="59"/>
      <c r="N13" s="59"/>
      <c r="O13" s="60">
        <v>45418</v>
      </c>
    </row>
    <row r="14" spans="2:15" ht="43.5" customHeight="1">
      <c r="B14" s="43" t="s">
        <v>91</v>
      </c>
      <c r="C14" s="52" t="s">
        <v>269</v>
      </c>
      <c r="D14" s="49" t="s">
        <v>473</v>
      </c>
      <c r="E14" s="43">
        <v>146031929</v>
      </c>
      <c r="F14" s="43" t="s">
        <v>453</v>
      </c>
      <c r="G14" s="44">
        <v>21</v>
      </c>
      <c r="H14" s="45" t="s">
        <v>472</v>
      </c>
      <c r="I14" s="44">
        <v>0</v>
      </c>
      <c r="J14" s="44" t="s">
        <v>452</v>
      </c>
      <c r="K14" s="58"/>
      <c r="L14" s="58"/>
      <c r="M14" s="59"/>
      <c r="N14" s="59"/>
      <c r="O14" s="60">
        <v>45422</v>
      </c>
    </row>
    <row r="15" spans="2:15" ht="126.75" customHeight="1">
      <c r="B15" s="43" t="s">
        <v>91</v>
      </c>
      <c r="C15" s="52" t="s">
        <v>269</v>
      </c>
      <c r="D15" s="49" t="s">
        <v>502</v>
      </c>
      <c r="E15" s="61" t="s">
        <v>474</v>
      </c>
      <c r="F15" s="43" t="s">
        <v>464</v>
      </c>
      <c r="G15" s="44">
        <v>120</v>
      </c>
      <c r="H15" s="45" t="s">
        <v>475</v>
      </c>
      <c r="I15" s="44">
        <v>0</v>
      </c>
      <c r="J15" s="44" t="s">
        <v>452</v>
      </c>
      <c r="K15" s="58"/>
      <c r="L15" s="44">
        <v>120</v>
      </c>
      <c r="M15" s="45" t="s">
        <v>476</v>
      </c>
      <c r="N15" s="59"/>
      <c r="O15" s="60">
        <v>45427</v>
      </c>
    </row>
    <row r="16" spans="2:15" ht="43.5" customHeight="1">
      <c r="B16" s="43" t="s">
        <v>91</v>
      </c>
      <c r="C16" s="52" t="s">
        <v>269</v>
      </c>
      <c r="D16" s="49" t="s">
        <v>477</v>
      </c>
      <c r="E16" s="61" t="s">
        <v>478</v>
      </c>
      <c r="F16" s="43" t="s">
        <v>479</v>
      </c>
      <c r="G16" s="44">
        <v>4</v>
      </c>
      <c r="H16" s="45" t="s">
        <v>480</v>
      </c>
      <c r="I16" s="44">
        <v>0</v>
      </c>
      <c r="J16" s="44" t="s">
        <v>452</v>
      </c>
      <c r="K16" s="58"/>
      <c r="L16" s="44"/>
      <c r="M16" s="45"/>
      <c r="N16" s="59"/>
      <c r="O16" s="60">
        <v>45439</v>
      </c>
    </row>
    <row r="17" spans="2:16" ht="43.5" customHeight="1">
      <c r="B17" s="43" t="s">
        <v>91</v>
      </c>
      <c r="C17" s="52" t="s">
        <v>269</v>
      </c>
      <c r="D17" s="49" t="s">
        <v>481</v>
      </c>
      <c r="E17" s="61" t="s">
        <v>454</v>
      </c>
      <c r="F17" s="43" t="s">
        <v>453</v>
      </c>
      <c r="G17" s="44">
        <v>0</v>
      </c>
      <c r="H17" s="45">
        <v>0</v>
      </c>
      <c r="I17" s="44">
        <v>0</v>
      </c>
      <c r="J17" s="44">
        <v>0</v>
      </c>
      <c r="K17" s="44">
        <v>8</v>
      </c>
      <c r="L17" s="44">
        <v>0</v>
      </c>
      <c r="M17" s="45">
        <v>0</v>
      </c>
      <c r="N17" s="45">
        <v>0</v>
      </c>
      <c r="O17" s="62">
        <v>45443</v>
      </c>
    </row>
    <row r="18" spans="2:16" ht="64.5" customHeight="1">
      <c r="B18" s="43" t="s">
        <v>91</v>
      </c>
      <c r="C18" s="52" t="s">
        <v>269</v>
      </c>
      <c r="D18" s="63" t="s">
        <v>482</v>
      </c>
      <c r="E18" s="63" t="s">
        <v>455</v>
      </c>
      <c r="F18" s="63" t="s">
        <v>456</v>
      </c>
      <c r="G18" s="49">
        <v>0</v>
      </c>
      <c r="H18" s="49">
        <v>0</v>
      </c>
      <c r="I18" s="49">
        <v>0</v>
      </c>
      <c r="J18" s="49">
        <v>0</v>
      </c>
      <c r="K18" s="49">
        <v>87</v>
      </c>
      <c r="L18" s="49">
        <v>0</v>
      </c>
      <c r="M18" s="49">
        <v>0</v>
      </c>
      <c r="N18" s="49">
        <v>0</v>
      </c>
      <c r="O18" s="62">
        <v>45443</v>
      </c>
    </row>
    <row r="19" spans="2:16" ht="43.5" customHeight="1">
      <c r="B19" s="43" t="s">
        <v>91</v>
      </c>
      <c r="C19" s="52" t="s">
        <v>269</v>
      </c>
      <c r="D19" s="49" t="s">
        <v>483</v>
      </c>
      <c r="E19" s="61" t="s">
        <v>484</v>
      </c>
      <c r="F19" s="43" t="s">
        <v>453</v>
      </c>
      <c r="G19" s="49">
        <v>0</v>
      </c>
      <c r="H19" s="49">
        <v>0</v>
      </c>
      <c r="I19" s="49">
        <v>0</v>
      </c>
      <c r="J19" s="49">
        <v>0</v>
      </c>
      <c r="K19" s="49">
        <v>7</v>
      </c>
      <c r="L19" s="49">
        <v>0</v>
      </c>
      <c r="M19" s="49">
        <v>0</v>
      </c>
      <c r="N19" s="49">
        <v>0</v>
      </c>
      <c r="O19" s="62">
        <v>45440</v>
      </c>
    </row>
    <row r="20" spans="2:16" ht="43.5" customHeight="1">
      <c r="B20" s="43" t="s">
        <v>91</v>
      </c>
      <c r="C20" s="52" t="s">
        <v>269</v>
      </c>
      <c r="D20" s="49" t="s">
        <v>503</v>
      </c>
      <c r="E20" s="49">
        <v>11255007</v>
      </c>
      <c r="F20" s="49" t="s">
        <v>463</v>
      </c>
      <c r="G20" s="49">
        <v>0</v>
      </c>
      <c r="H20" s="49">
        <v>0</v>
      </c>
      <c r="I20" s="49">
        <v>0</v>
      </c>
      <c r="J20" s="49">
        <v>0</v>
      </c>
      <c r="K20" s="49">
        <v>11</v>
      </c>
      <c r="L20" s="49">
        <v>0</v>
      </c>
      <c r="M20" s="49">
        <v>0</v>
      </c>
      <c r="N20" s="49">
        <v>0</v>
      </c>
      <c r="O20" s="62">
        <v>45440</v>
      </c>
    </row>
    <row r="21" spans="2:16" ht="43.5" customHeight="1">
      <c r="B21" s="43" t="s">
        <v>91</v>
      </c>
      <c r="C21" s="52" t="s">
        <v>269</v>
      </c>
      <c r="D21" s="49" t="s">
        <v>504</v>
      </c>
      <c r="E21" s="61" t="s">
        <v>485</v>
      </c>
      <c r="F21" s="43" t="s">
        <v>486</v>
      </c>
      <c r="G21" s="49">
        <v>0</v>
      </c>
      <c r="H21" s="49">
        <v>0</v>
      </c>
      <c r="I21" s="49">
        <v>0</v>
      </c>
      <c r="J21" s="49">
        <v>0</v>
      </c>
      <c r="K21" s="49">
        <v>1082</v>
      </c>
      <c r="L21" s="49">
        <v>0</v>
      </c>
      <c r="M21" s="49">
        <v>0</v>
      </c>
      <c r="N21" s="49">
        <v>0</v>
      </c>
      <c r="O21" s="62">
        <v>45443</v>
      </c>
    </row>
    <row r="22" spans="2:16" ht="61.5" customHeight="1">
      <c r="B22" s="43" t="s">
        <v>91</v>
      </c>
      <c r="C22" s="52" t="s">
        <v>269</v>
      </c>
      <c r="D22" s="49" t="s">
        <v>487</v>
      </c>
      <c r="E22" s="61">
        <v>140225259</v>
      </c>
      <c r="F22" s="43" t="s">
        <v>486</v>
      </c>
      <c r="G22" s="49">
        <v>0</v>
      </c>
      <c r="H22" s="49">
        <v>0</v>
      </c>
      <c r="I22" s="49">
        <v>0</v>
      </c>
      <c r="J22" s="49">
        <v>0</v>
      </c>
      <c r="K22" s="49">
        <v>27</v>
      </c>
      <c r="L22" s="49">
        <v>0</v>
      </c>
      <c r="M22" s="49">
        <v>0</v>
      </c>
      <c r="N22" s="49">
        <v>0</v>
      </c>
      <c r="O22" s="62">
        <v>45440</v>
      </c>
    </row>
    <row r="23" spans="2:16" ht="51.75" customHeight="1">
      <c r="B23" s="43" t="s">
        <v>91</v>
      </c>
      <c r="C23" s="52" t="s">
        <v>269</v>
      </c>
      <c r="D23" s="49" t="s">
        <v>488</v>
      </c>
      <c r="E23" s="49" t="s">
        <v>489</v>
      </c>
      <c r="F23" s="49" t="s">
        <v>490</v>
      </c>
      <c r="G23" s="49">
        <v>0</v>
      </c>
      <c r="H23" s="49">
        <v>0</v>
      </c>
      <c r="I23" s="49">
        <v>0</v>
      </c>
      <c r="J23" s="49">
        <v>0</v>
      </c>
      <c r="K23" s="49">
        <v>1</v>
      </c>
      <c r="L23" s="49">
        <v>0</v>
      </c>
      <c r="M23" s="49">
        <v>0</v>
      </c>
      <c r="N23" s="49">
        <v>0</v>
      </c>
      <c r="O23" s="62">
        <v>45440</v>
      </c>
    </row>
    <row r="24" spans="2:16" ht="43.5" customHeight="1">
      <c r="B24" s="43" t="s">
        <v>92</v>
      </c>
      <c r="C24" s="52" t="s">
        <v>269</v>
      </c>
      <c r="D24" s="43" t="s">
        <v>465</v>
      </c>
      <c r="E24" s="43">
        <v>387770531</v>
      </c>
      <c r="F24" s="43" t="s">
        <v>458</v>
      </c>
      <c r="G24" s="43">
        <v>0</v>
      </c>
      <c r="H24" s="65">
        <v>45443</v>
      </c>
      <c r="I24" s="43">
        <v>0</v>
      </c>
      <c r="J24" s="43" t="s">
        <v>457</v>
      </c>
      <c r="K24" s="43">
        <v>3</v>
      </c>
      <c r="L24" s="43"/>
      <c r="M24" s="43"/>
      <c r="N24" s="43"/>
      <c r="O24" s="65" t="s">
        <v>491</v>
      </c>
    </row>
    <row r="25" spans="2:16" ht="43.5" customHeight="1">
      <c r="B25" s="43" t="s">
        <v>492</v>
      </c>
      <c r="C25" s="52" t="s">
        <v>269</v>
      </c>
      <c r="D25" s="49" t="s">
        <v>493</v>
      </c>
      <c r="E25" s="79">
        <v>221121155</v>
      </c>
      <c r="F25" s="43" t="s">
        <v>479</v>
      </c>
      <c r="G25" s="43">
        <v>1</v>
      </c>
      <c r="H25" s="43" t="s">
        <v>494</v>
      </c>
      <c r="I25" s="43">
        <v>0</v>
      </c>
      <c r="J25" s="43" t="s">
        <v>452</v>
      </c>
      <c r="K25" s="43">
        <v>0</v>
      </c>
      <c r="L25" s="43">
        <v>0</v>
      </c>
      <c r="M25" s="43">
        <v>0</v>
      </c>
      <c r="N25" s="43">
        <v>0</v>
      </c>
      <c r="O25" s="65">
        <v>45439</v>
      </c>
    </row>
    <row r="26" spans="2:16" ht="12.5">
      <c r="B26" s="30"/>
      <c r="C26" s="30"/>
      <c r="D26" s="29"/>
      <c r="E26" s="73"/>
      <c r="F26" s="69"/>
      <c r="G26" s="42">
        <f t="shared" ref="G26:J26" si="0">SUM(G8:G25)</f>
        <v>345</v>
      </c>
      <c r="H26" s="42"/>
      <c r="I26" s="42">
        <f t="shared" si="0"/>
        <v>0</v>
      </c>
      <c r="J26" s="42">
        <f t="shared" si="0"/>
        <v>0</v>
      </c>
      <c r="K26" s="42">
        <f>SUM(K8:K25)</f>
        <v>1269</v>
      </c>
      <c r="L26" s="42">
        <f t="shared" ref="L26:O26" si="1">SUM(L8:L25)</f>
        <v>124</v>
      </c>
      <c r="M26" s="42"/>
      <c r="N26" s="42"/>
      <c r="O26" s="42"/>
      <c r="P26" s="41"/>
    </row>
    <row r="27" spans="2:16" ht="12.5">
      <c r="B27" s="30"/>
      <c r="C27" s="30"/>
      <c r="D27" s="29"/>
      <c r="E27" s="69"/>
      <c r="F27" s="69"/>
      <c r="G27" s="29"/>
      <c r="H27" s="29"/>
      <c r="I27" s="76"/>
      <c r="J27" s="29"/>
      <c r="K27" s="77"/>
      <c r="L27" s="29"/>
      <c r="M27" s="29"/>
      <c r="N27" s="29"/>
      <c r="O27" s="32"/>
      <c r="P27" s="41"/>
    </row>
    <row r="28" spans="2:16" ht="12.5"/>
    <row r="29" spans="2:16" ht="12.5"/>
    <row r="30" spans="2:16" ht="12.5"/>
    <row r="31" spans="2:16" ht="12.5"/>
    <row r="32" spans="2:16" ht="12.5"/>
    <row r="33" spans="18:18" ht="12.5"/>
    <row r="34" spans="18:18" ht="12.5"/>
    <row r="35" spans="18:18" ht="12.5"/>
    <row r="36" spans="18:18" ht="12.5"/>
    <row r="37" spans="18:18" ht="12.5"/>
    <row r="38" spans="18:18" ht="12.5"/>
    <row r="39" spans="18:18" ht="12.5"/>
    <row r="40" spans="18:18" ht="12.5"/>
    <row r="41" spans="18:18" ht="12.5"/>
    <row r="42" spans="18:18" ht="12.5"/>
    <row r="43" spans="18:18" ht="12.5"/>
    <row r="44" spans="18:18" ht="12.5"/>
    <row r="45" spans="18:18" ht="12.5"/>
    <row r="46" spans="18:18" ht="12.5">
      <c r="R46" s="31">
        <v>2348</v>
      </c>
    </row>
    <row r="47" spans="18:18" ht="12.5">
      <c r="R47" s="31">
        <f>R46-G26</f>
        <v>2003</v>
      </c>
    </row>
    <row r="48" spans="18:1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2024-06-14T06:34:35Z</dcterms:modified>
</cp:coreProperties>
</file>
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Wydział Mazowieckiego Obserwatorium Rynku Pracy\PBSSP\dane_miesieczne\Zwolnienia\2022\"/>
    </mc:Choice>
  </mc:AlternateContent>
  <bookViews>
    <workbookView xWindow="0" yWindow="0" windowWidth="28800" windowHeight="11775" activeTab="1"/>
  </bookViews>
  <sheets>
    <sheet name="Dane podstawowe" sheetId="8" r:id="rId1"/>
    <sheet name="dane" sheetId="5" r:id="rId2"/>
    <sheet name="listy" sheetId="6" state="hidden" r:id="rId3"/>
  </sheets>
  <definedNames>
    <definedName name="DOLNOŚLĄSKIE">listy!$A$2:$A$31</definedName>
    <definedName name="KUJAWSKO_POMORSKIE">listy!$B$2:$B$24</definedName>
    <definedName name="LUBELSKIE">listy!$C$2:$C$25</definedName>
    <definedName name="LUBUSKIE">listy!$D$2:$D$15</definedName>
    <definedName name="ŁÓDZKIE">listy!$E$2:$E$25</definedName>
    <definedName name="MAŁOPOLSKIE">listy!$F$2:$F$24</definedName>
    <definedName name="MAZOWIECKIE">listy!$G$2:$G$43</definedName>
    <definedName name="_xlnm.Print_Area" localSheetId="1">dane!$A$1:$O$15</definedName>
    <definedName name="OPOLSKIE">listy!$H$2:$H$13</definedName>
    <definedName name="PODKARPACKIE">listy!$I$2:$I$26</definedName>
    <definedName name="PODLASKIE">listy!$J$2:$J$18</definedName>
    <definedName name="POMORSKIE">listy!$K$2:$K$21</definedName>
    <definedName name="ŚLĄSKIE">listy!$L$2:$L$37</definedName>
    <definedName name="ŚWIĘTOKRZYSKIE">listy!$M$2:$M$15</definedName>
    <definedName name="WARMIŃSKO_MAZURSKIE">listy!$N$2:$N$22</definedName>
    <definedName name="WIELKOPOLSKIE">listy!$O$2:$O$36</definedName>
    <definedName name="ZACHODNIOPOMORSKIE">listy!$P$2:$P$22</definedName>
  </definedNames>
  <calcPr calcId="162913"/>
</workbook>
</file>

<file path=xl/calcChain.xml><?xml version="1.0" encoding="utf-8"?>
<calcChain xmlns="http://schemas.openxmlformats.org/spreadsheetml/2006/main">
  <c r="E2" i="5" l="1"/>
  <c r="D2" i="5"/>
  <c r="C2" i="5"/>
</calcChain>
</file>

<file path=xl/sharedStrings.xml><?xml version="1.0" encoding="utf-8"?>
<sst xmlns="http://schemas.openxmlformats.org/spreadsheetml/2006/main" count="506" uniqueCount="482">
  <si>
    <t>Nazwa zakładu
 pracy</t>
  </si>
  <si>
    <t>Powiat</t>
  </si>
  <si>
    <t>Województwo:</t>
  </si>
  <si>
    <t>publiczny</t>
  </si>
  <si>
    <t>prywatny</t>
  </si>
  <si>
    <t>bełchatowski</t>
  </si>
  <si>
    <t>kutnowski</t>
  </si>
  <si>
    <t>łaski</t>
  </si>
  <si>
    <t>łęczycki</t>
  </si>
  <si>
    <t>łowicki</t>
  </si>
  <si>
    <t>opoczyński</t>
  </si>
  <si>
    <t>pabianicki</t>
  </si>
  <si>
    <t>pajęczański</t>
  </si>
  <si>
    <t>piotrkowski</t>
  </si>
  <si>
    <t>poddębicki</t>
  </si>
  <si>
    <t>radomszczański</t>
  </si>
  <si>
    <t>rawski</t>
  </si>
  <si>
    <t>sieradzki</t>
  </si>
  <si>
    <t>skierniewicki</t>
  </si>
  <si>
    <t>tomaszowski</t>
  </si>
  <si>
    <t>wieluński</t>
  </si>
  <si>
    <t>wieruszowski</t>
  </si>
  <si>
    <t>zduńskowolski</t>
  </si>
  <si>
    <t>zgierski</t>
  </si>
  <si>
    <t>brzeziński</t>
  </si>
  <si>
    <t>łódzki wschodni</t>
  </si>
  <si>
    <t>m. Łódź</t>
  </si>
  <si>
    <t>m. Piotrków Trybunalski</t>
  </si>
  <si>
    <t>m. Skierniewice</t>
  </si>
  <si>
    <t>bocheński</t>
  </si>
  <si>
    <t>brzeski</t>
  </si>
  <si>
    <t>chrzanowski</t>
  </si>
  <si>
    <t>dąbrowski</t>
  </si>
  <si>
    <t>gorlicki</t>
  </si>
  <si>
    <t>krakowski</t>
  </si>
  <si>
    <t>limanowski</t>
  </si>
  <si>
    <t>miechowski</t>
  </si>
  <si>
    <t>myślenicki</t>
  </si>
  <si>
    <t>nowosądecki</t>
  </si>
  <si>
    <t>nowotarski</t>
  </si>
  <si>
    <t>olkuski</t>
  </si>
  <si>
    <t>oświęcimski</t>
  </si>
  <si>
    <t>proszowicki</t>
  </si>
  <si>
    <t>suski</t>
  </si>
  <si>
    <t>tarnowski</t>
  </si>
  <si>
    <t>tatrzański</t>
  </si>
  <si>
    <t>wadowicki</t>
  </si>
  <si>
    <t>wielicki</t>
  </si>
  <si>
    <t>m. Kraków</t>
  </si>
  <si>
    <t>m. Nowy Sącz</t>
  </si>
  <si>
    <t>m. Tarnów</t>
  </si>
  <si>
    <t>białobrzeski</t>
  </si>
  <si>
    <t>ciechanowski</t>
  </si>
  <si>
    <t>garwoliński</t>
  </si>
  <si>
    <t>gostyniński</t>
  </si>
  <si>
    <t>grodziski</t>
  </si>
  <si>
    <t>grójecki</t>
  </si>
  <si>
    <t>kozienicki</t>
  </si>
  <si>
    <t>legionowski</t>
  </si>
  <si>
    <t>lipski</t>
  </si>
  <si>
    <t>łosicki</t>
  </si>
  <si>
    <t>makowski</t>
  </si>
  <si>
    <t>miński</t>
  </si>
  <si>
    <t>mławski</t>
  </si>
  <si>
    <t>nowodworski</t>
  </si>
  <si>
    <t>ostrołęcki</t>
  </si>
  <si>
    <t>ostrowski</t>
  </si>
  <si>
    <t>otwocki</t>
  </si>
  <si>
    <t>piaseczyński</t>
  </si>
  <si>
    <t>płocki</t>
  </si>
  <si>
    <t>płoński</t>
  </si>
  <si>
    <t>pruszkowski</t>
  </si>
  <si>
    <t>przasnyski</t>
  </si>
  <si>
    <t>przysuski</t>
  </si>
  <si>
    <t>pułtuski</t>
  </si>
  <si>
    <t>radomski</t>
  </si>
  <si>
    <t>siedlecki</t>
  </si>
  <si>
    <t>sierpecki</t>
  </si>
  <si>
    <t>sochaczewski</t>
  </si>
  <si>
    <t>sokołowski</t>
  </si>
  <si>
    <t>szydłowiecki</t>
  </si>
  <si>
    <t>węgrowski</t>
  </si>
  <si>
    <t>wołomiński</t>
  </si>
  <si>
    <t>wyszkowski</t>
  </si>
  <si>
    <t>zwoleński</t>
  </si>
  <si>
    <t>żuromiński</t>
  </si>
  <si>
    <t>żyrardowski</t>
  </si>
  <si>
    <t>m. Ostrołęka</t>
  </si>
  <si>
    <t>m. Płock</t>
  </si>
  <si>
    <t>m. Radom</t>
  </si>
  <si>
    <t>m. Siedlce</t>
  </si>
  <si>
    <t>m. Warszawa</t>
  </si>
  <si>
    <t>warszawski zachodni</t>
  </si>
  <si>
    <t>głubczycki</t>
  </si>
  <si>
    <t>kędzierzyńsko-kozielski</t>
  </si>
  <si>
    <t>kluczborski</t>
  </si>
  <si>
    <t>krapkowicki</t>
  </si>
  <si>
    <t>namysłowski</t>
  </si>
  <si>
    <t>nyski</t>
  </si>
  <si>
    <t>oleski</t>
  </si>
  <si>
    <t>opolski</t>
  </si>
  <si>
    <t>prudnicki</t>
  </si>
  <si>
    <t>strzelecki</t>
  </si>
  <si>
    <t>m. Opole</t>
  </si>
  <si>
    <t>bieszczadzki</t>
  </si>
  <si>
    <t>brzozowski</t>
  </si>
  <si>
    <t>dębicki</t>
  </si>
  <si>
    <t>jarosławski</t>
  </si>
  <si>
    <t>jasielski</t>
  </si>
  <si>
    <t>kolbuszowski</t>
  </si>
  <si>
    <t>krośnieński</t>
  </si>
  <si>
    <t>leżajski</t>
  </si>
  <si>
    <t>lubaczowski</t>
  </si>
  <si>
    <t>łańcucki</t>
  </si>
  <si>
    <t>mielecki</t>
  </si>
  <si>
    <t>niżański</t>
  </si>
  <si>
    <t>przemyski</t>
  </si>
  <si>
    <t>przeworski</t>
  </si>
  <si>
    <t>ropczycko-sędziszowski</t>
  </si>
  <si>
    <t>rzeszowski</t>
  </si>
  <si>
    <t>sanocki</t>
  </si>
  <si>
    <t>stalowowolski</t>
  </si>
  <si>
    <t>strzyżowski</t>
  </si>
  <si>
    <t>tarnobrzeski</t>
  </si>
  <si>
    <t>leski</t>
  </si>
  <si>
    <t>m. Krosno</t>
  </si>
  <si>
    <t>m. Przemyśl</t>
  </si>
  <si>
    <t>m. Rzeszów</t>
  </si>
  <si>
    <t>m. Tarnobrzeg</t>
  </si>
  <si>
    <t>augustowski</t>
  </si>
  <si>
    <t>białostocki</t>
  </si>
  <si>
    <t>bielski</t>
  </si>
  <si>
    <t>grajewski</t>
  </si>
  <si>
    <t>hajnowski</t>
  </si>
  <si>
    <t>kolneński</t>
  </si>
  <si>
    <t>łomżyński</t>
  </si>
  <si>
    <t>moniecki</t>
  </si>
  <si>
    <t>sejneński</t>
  </si>
  <si>
    <t>siemiatycki</t>
  </si>
  <si>
    <t>sokólski</t>
  </si>
  <si>
    <t>suwalski</t>
  </si>
  <si>
    <t>wysokomazowiecki</t>
  </si>
  <si>
    <t>zambrowski</t>
  </si>
  <si>
    <t>m. Białystok</t>
  </si>
  <si>
    <t>m. Łomża</t>
  </si>
  <si>
    <t>m. Suwałki</t>
  </si>
  <si>
    <t>bytowski</t>
  </si>
  <si>
    <t>chojnicki</t>
  </si>
  <si>
    <t>człuchowski</t>
  </si>
  <si>
    <t>gdański</t>
  </si>
  <si>
    <t>kartuski</t>
  </si>
  <si>
    <t>kościerski</t>
  </si>
  <si>
    <t>kwidzyński</t>
  </si>
  <si>
    <t>lęborski</t>
  </si>
  <si>
    <t>malborski</t>
  </si>
  <si>
    <t>pucki</t>
  </si>
  <si>
    <t>słupski</t>
  </si>
  <si>
    <t>starogardzki</t>
  </si>
  <si>
    <t>tczewski</t>
  </si>
  <si>
    <t>wejherowski</t>
  </si>
  <si>
    <t>sztumski</t>
  </si>
  <si>
    <t>m. Gdańsk</t>
  </si>
  <si>
    <t>m. Gdynia</t>
  </si>
  <si>
    <t>m. Słupsk</t>
  </si>
  <si>
    <t>m. Sopot</t>
  </si>
  <si>
    <t>będziński</t>
  </si>
  <si>
    <t>cieszyński</t>
  </si>
  <si>
    <t>częstochowski</t>
  </si>
  <si>
    <t>gliwicki</t>
  </si>
  <si>
    <t>kłobucki</t>
  </si>
  <si>
    <t>lubliniecki</t>
  </si>
  <si>
    <t>mikołowski</t>
  </si>
  <si>
    <t>myszkowski</t>
  </si>
  <si>
    <t>pszczyński</t>
  </si>
  <si>
    <t>raciborski</t>
  </si>
  <si>
    <t>rybnicki</t>
  </si>
  <si>
    <t>tarnogórski</t>
  </si>
  <si>
    <t>wodzisławski</t>
  </si>
  <si>
    <t>zawierciański</t>
  </si>
  <si>
    <t>żywiecki</t>
  </si>
  <si>
    <t>buski</t>
  </si>
  <si>
    <t>jędrzejowski</t>
  </si>
  <si>
    <t>kazimierski</t>
  </si>
  <si>
    <t>kielecki</t>
  </si>
  <si>
    <t>konecki</t>
  </si>
  <si>
    <t>opatowski</t>
  </si>
  <si>
    <t>ostrowiecki</t>
  </si>
  <si>
    <t>pińczowski</t>
  </si>
  <si>
    <t>sandomierski</t>
  </si>
  <si>
    <t>skarżyski</t>
  </si>
  <si>
    <t>starachowicki</t>
  </si>
  <si>
    <t>staszowski</t>
  </si>
  <si>
    <t>włoszczowski</t>
  </si>
  <si>
    <t>bartoszycki</t>
  </si>
  <si>
    <t>braniewski</t>
  </si>
  <si>
    <t>działdowski</t>
  </si>
  <si>
    <t>elbląski</t>
  </si>
  <si>
    <t>ełcki</t>
  </si>
  <si>
    <t>giżycki</t>
  </si>
  <si>
    <t>iławski</t>
  </si>
  <si>
    <t>kętrzyński</t>
  </si>
  <si>
    <t>lidzbarski</t>
  </si>
  <si>
    <t>mrągowski</t>
  </si>
  <si>
    <t>nidzicki</t>
  </si>
  <si>
    <t>nowomiejski</t>
  </si>
  <si>
    <t>olecki</t>
  </si>
  <si>
    <t>olsztyński</t>
  </si>
  <si>
    <t>ostródzki</t>
  </si>
  <si>
    <t>piski</t>
  </si>
  <si>
    <t>szczycieński</t>
  </si>
  <si>
    <t>gołdapski</t>
  </si>
  <si>
    <t>węgorzewski</t>
  </si>
  <si>
    <t>chodzieski</t>
  </si>
  <si>
    <t>czarnkowsko-trzcianecki</t>
  </si>
  <si>
    <t>gnieźnieński</t>
  </si>
  <si>
    <t>gostyński</t>
  </si>
  <si>
    <t>jarociński</t>
  </si>
  <si>
    <t>kaliski</t>
  </si>
  <si>
    <t>kępiński</t>
  </si>
  <si>
    <t>kolski</t>
  </si>
  <si>
    <t>koniński</t>
  </si>
  <si>
    <t>kościański</t>
  </si>
  <si>
    <t>krotoszyński</t>
  </si>
  <si>
    <t>leszczyński</t>
  </si>
  <si>
    <t>międzychodzki</t>
  </si>
  <si>
    <t>nowotomyski</t>
  </si>
  <si>
    <t>obornicki</t>
  </si>
  <si>
    <t>ostrzeszowski</t>
  </si>
  <si>
    <t>pilski</t>
  </si>
  <si>
    <t>pleszewski</t>
  </si>
  <si>
    <t>poznański</t>
  </si>
  <si>
    <t>rawicki</t>
  </si>
  <si>
    <t>słupecki</t>
  </si>
  <si>
    <t>szamotulski</t>
  </si>
  <si>
    <t>średzki</t>
  </si>
  <si>
    <t>śremski</t>
  </si>
  <si>
    <t>turecki</t>
  </si>
  <si>
    <t>wągrowiecki</t>
  </si>
  <si>
    <t>wolsztyński</t>
  </si>
  <si>
    <t>wrzesiński</t>
  </si>
  <si>
    <t>złotowski</t>
  </si>
  <si>
    <t>białogardzki</t>
  </si>
  <si>
    <t>choszczeński</t>
  </si>
  <si>
    <t>drawski</t>
  </si>
  <si>
    <t>goleniowski</t>
  </si>
  <si>
    <t>gryficki</t>
  </si>
  <si>
    <t>gryfiński</t>
  </si>
  <si>
    <t>kamieński</t>
  </si>
  <si>
    <t>kołobrzeski</t>
  </si>
  <si>
    <t>koszaliński</t>
  </si>
  <si>
    <t>myśliborski</t>
  </si>
  <si>
    <t>policki</t>
  </si>
  <si>
    <t>pyrzycki</t>
  </si>
  <si>
    <t>sławieński</t>
  </si>
  <si>
    <t>stargardzki</t>
  </si>
  <si>
    <t>szczecinecki</t>
  </si>
  <si>
    <t>świdwiński</t>
  </si>
  <si>
    <t>wałecki</t>
  </si>
  <si>
    <t>łobeski</t>
  </si>
  <si>
    <t>e-mail</t>
  </si>
  <si>
    <t>Imię i nazwisko</t>
  </si>
  <si>
    <t>tel.</t>
  </si>
  <si>
    <t>WOJEWÓDZTWO</t>
  </si>
  <si>
    <t xml:space="preserve">Dane podstawowe </t>
  </si>
  <si>
    <t>LUBELSKIE</t>
  </si>
  <si>
    <t>LUBUSKIE</t>
  </si>
  <si>
    <t>DOLNOŚLĄSKIE</t>
  </si>
  <si>
    <t>ŁÓDZKIE</t>
  </si>
  <si>
    <t>MAŁOPOLSKIE</t>
  </si>
  <si>
    <t>MAZOWIECKIE</t>
  </si>
  <si>
    <t>OPOLSKIE</t>
  </si>
  <si>
    <t>PODKARPACKIE</t>
  </si>
  <si>
    <t>PODLASKIE</t>
  </si>
  <si>
    <t xml:space="preserve">POMORSKIE </t>
  </si>
  <si>
    <t>ŚLĄSKIE</t>
  </si>
  <si>
    <t>ŚWIĘTOKRZYSKIE</t>
  </si>
  <si>
    <t>WARMIŃSKO-MAZURSKIE</t>
  </si>
  <si>
    <t>WIELKOPOLSKIE</t>
  </si>
  <si>
    <t>ZACHODNIOPOMORSKIE</t>
  </si>
  <si>
    <t>Objaśnienia do wypełniania plików</t>
  </si>
  <si>
    <t>→</t>
  </si>
  <si>
    <t xml:space="preserve">Styczeń </t>
  </si>
  <si>
    <t xml:space="preserve">Luty </t>
  </si>
  <si>
    <t xml:space="preserve">Marzec </t>
  </si>
  <si>
    <t xml:space="preserve">Kwiecień </t>
  </si>
  <si>
    <t xml:space="preserve">Maj </t>
  </si>
  <si>
    <t xml:space="preserve">Czerwiec </t>
  </si>
  <si>
    <t xml:space="preserve">Lipiec </t>
  </si>
  <si>
    <t xml:space="preserve">Sierpień </t>
  </si>
  <si>
    <t xml:space="preserve">Wrzesień </t>
  </si>
  <si>
    <t xml:space="preserve">Październik </t>
  </si>
  <si>
    <t xml:space="preserve">Listopad </t>
  </si>
  <si>
    <t xml:space="preserve">Grudzień </t>
  </si>
  <si>
    <t>OKRES SPRAWOZDAWCZY - ROK</t>
  </si>
  <si>
    <t>KUJAWSKO_POMORSKIE</t>
  </si>
  <si>
    <t>aleksandrowski</t>
  </si>
  <si>
    <t>bialski</t>
  </si>
  <si>
    <t xml:space="preserve">bolesławiecki  </t>
  </si>
  <si>
    <t xml:space="preserve">dzierżoniowski    </t>
  </si>
  <si>
    <t xml:space="preserve">głogowski            </t>
  </si>
  <si>
    <t xml:space="preserve">górowski </t>
  </si>
  <si>
    <t xml:space="preserve">jaworski   </t>
  </si>
  <si>
    <t xml:space="preserve">jeleniogórski  </t>
  </si>
  <si>
    <t xml:space="preserve">kamiennogórski  </t>
  </si>
  <si>
    <t xml:space="preserve">kłodzki   </t>
  </si>
  <si>
    <t xml:space="preserve">legnicki </t>
  </si>
  <si>
    <t xml:space="preserve">lubański  </t>
  </si>
  <si>
    <t xml:space="preserve">lubiński  </t>
  </si>
  <si>
    <t xml:space="preserve">lwówecki     </t>
  </si>
  <si>
    <t xml:space="preserve">milicki  </t>
  </si>
  <si>
    <t xml:space="preserve">oleśnicki   </t>
  </si>
  <si>
    <t xml:space="preserve">oławski   </t>
  </si>
  <si>
    <t xml:space="preserve">polkowicki   </t>
  </si>
  <si>
    <t xml:space="preserve">strzeliński     </t>
  </si>
  <si>
    <t xml:space="preserve">średzki   </t>
  </si>
  <si>
    <t xml:space="preserve">świdnicki    </t>
  </si>
  <si>
    <t xml:space="preserve">trzebnicki  </t>
  </si>
  <si>
    <t xml:space="preserve">wałbrzyski   </t>
  </si>
  <si>
    <t xml:space="preserve">wołowski    </t>
  </si>
  <si>
    <t xml:space="preserve">wrocławski   </t>
  </si>
  <si>
    <t xml:space="preserve">ząbkowicki    </t>
  </si>
  <si>
    <t xml:space="preserve">zgorzelecki      </t>
  </si>
  <si>
    <t xml:space="preserve">złotoryjski  </t>
  </si>
  <si>
    <t xml:space="preserve">m. Jelenia Góra    </t>
  </si>
  <si>
    <t xml:space="preserve">m. Legnica    </t>
  </si>
  <si>
    <t xml:space="preserve">m. Wrocław  </t>
  </si>
  <si>
    <t xml:space="preserve">m. Wałbrzych       </t>
  </si>
  <si>
    <t xml:space="preserve">brodnicki    </t>
  </si>
  <si>
    <t xml:space="preserve">bydgoski    </t>
  </si>
  <si>
    <t xml:space="preserve">chełmiński   </t>
  </si>
  <si>
    <t xml:space="preserve">golubsko_dobrzyński    </t>
  </si>
  <si>
    <t xml:space="preserve">grudziądzki </t>
  </si>
  <si>
    <t xml:space="preserve">inowrocławski  </t>
  </si>
  <si>
    <t xml:space="preserve">lipnowski    </t>
  </si>
  <si>
    <t xml:space="preserve">mogileński         </t>
  </si>
  <si>
    <t xml:space="preserve">nakielski </t>
  </si>
  <si>
    <t xml:space="preserve">radziejowski </t>
  </si>
  <si>
    <t xml:space="preserve">rypiński  </t>
  </si>
  <si>
    <t xml:space="preserve">sępoleński             </t>
  </si>
  <si>
    <t xml:space="preserve">świecki   </t>
  </si>
  <si>
    <t xml:space="preserve">toruński </t>
  </si>
  <si>
    <t xml:space="preserve">tucholski </t>
  </si>
  <si>
    <t xml:space="preserve">wąbrzeski   </t>
  </si>
  <si>
    <t xml:space="preserve">włocławski  </t>
  </si>
  <si>
    <t xml:space="preserve">żniński   </t>
  </si>
  <si>
    <t xml:space="preserve">m. Bydgoszcz  </t>
  </si>
  <si>
    <t xml:space="preserve">m. Grudziądz  </t>
  </si>
  <si>
    <t xml:space="preserve">m. Toruń   </t>
  </si>
  <si>
    <t xml:space="preserve">m. Włocławek  </t>
  </si>
  <si>
    <t xml:space="preserve">biłgorajski    </t>
  </si>
  <si>
    <t xml:space="preserve">chełmski    </t>
  </si>
  <si>
    <t xml:space="preserve">hrubieszowski    </t>
  </si>
  <si>
    <t xml:space="preserve">janowski     </t>
  </si>
  <si>
    <t xml:space="preserve">krasnostawski  </t>
  </si>
  <si>
    <t xml:space="preserve">kraśnicki </t>
  </si>
  <si>
    <t xml:space="preserve">lubartowski </t>
  </si>
  <si>
    <t xml:space="preserve">lubelski     </t>
  </si>
  <si>
    <t xml:space="preserve">łęczyński    </t>
  </si>
  <si>
    <t xml:space="preserve">łukowski   </t>
  </si>
  <si>
    <t xml:space="preserve">opolski  </t>
  </si>
  <si>
    <t xml:space="preserve">parczewski  </t>
  </si>
  <si>
    <t xml:space="preserve">puławski  </t>
  </si>
  <si>
    <t xml:space="preserve">radzyński </t>
  </si>
  <si>
    <t xml:space="preserve">rycki      </t>
  </si>
  <si>
    <t xml:space="preserve">świdnicki  </t>
  </si>
  <si>
    <t xml:space="preserve">tomaszowski  </t>
  </si>
  <si>
    <t xml:space="preserve">włodawski </t>
  </si>
  <si>
    <t xml:space="preserve">zamojski </t>
  </si>
  <si>
    <t xml:space="preserve">m. Biała Podlaska  </t>
  </si>
  <si>
    <t xml:space="preserve">m. Chełm       </t>
  </si>
  <si>
    <t xml:space="preserve">m. Lublin </t>
  </si>
  <si>
    <t xml:space="preserve">m. Zamość </t>
  </si>
  <si>
    <t xml:space="preserve">gorzowski </t>
  </si>
  <si>
    <t xml:space="preserve">krośnieński  </t>
  </si>
  <si>
    <t xml:space="preserve">międzyrzecki  </t>
  </si>
  <si>
    <t xml:space="preserve">nowosolski   </t>
  </si>
  <si>
    <t xml:space="preserve">słubicki </t>
  </si>
  <si>
    <t xml:space="preserve">strzelecko_drezdenecki  </t>
  </si>
  <si>
    <t xml:space="preserve">sulęciński  </t>
  </si>
  <si>
    <t xml:space="preserve">świebodziński  </t>
  </si>
  <si>
    <t xml:space="preserve">zielonogórski  </t>
  </si>
  <si>
    <t xml:space="preserve">żagański  </t>
  </si>
  <si>
    <t xml:space="preserve">żarski  </t>
  </si>
  <si>
    <t xml:space="preserve">wschowski </t>
  </si>
  <si>
    <t xml:space="preserve">m. Gorzów Wielkopolski </t>
  </si>
  <si>
    <t xml:space="preserve">m. Zielona Góra </t>
  </si>
  <si>
    <t>bieruńsko_lędziński</t>
  </si>
  <si>
    <t xml:space="preserve">m. Częstochowa    </t>
  </si>
  <si>
    <t xml:space="preserve">m. Chorzów    </t>
  </si>
  <si>
    <t xml:space="preserve">m. Bytom    </t>
  </si>
  <si>
    <t>m. Bielsko-Biała</t>
  </si>
  <si>
    <t xml:space="preserve">m. Dąbrowa Górnicza   </t>
  </si>
  <si>
    <t xml:space="preserve">m. Gliwice  </t>
  </si>
  <si>
    <t xml:space="preserve">m. Jastrzębie_Zdrój   </t>
  </si>
  <si>
    <t xml:space="preserve">m. Jaworzno  </t>
  </si>
  <si>
    <t xml:space="preserve">m. Katowice   </t>
  </si>
  <si>
    <t xml:space="preserve">m. Mysłowice   </t>
  </si>
  <si>
    <t xml:space="preserve">m. Piekary Śląskie   </t>
  </si>
  <si>
    <t xml:space="preserve">m. Ruda Śląska    </t>
  </si>
  <si>
    <t xml:space="preserve">m. Rybnik  </t>
  </si>
  <si>
    <t xml:space="preserve">m. Siemianowice Śląskie </t>
  </si>
  <si>
    <t xml:space="preserve">m. Sosnowiec   </t>
  </si>
  <si>
    <t xml:space="preserve">m. Świętochłowice  </t>
  </si>
  <si>
    <t xml:space="preserve">m. Tychy </t>
  </si>
  <si>
    <t xml:space="preserve">m. Zabrze  </t>
  </si>
  <si>
    <t xml:space="preserve">m. Żory </t>
  </si>
  <si>
    <t xml:space="preserve">m. Kielce                   </t>
  </si>
  <si>
    <t xml:space="preserve">m. Elbląg </t>
  </si>
  <si>
    <t xml:space="preserve">m. Olsztyn  </t>
  </si>
  <si>
    <t xml:space="preserve">m. Leszno </t>
  </si>
  <si>
    <t xml:space="preserve">m. Poznań  </t>
  </si>
  <si>
    <t xml:space="preserve">m. Konin  </t>
  </si>
  <si>
    <t xml:space="preserve">m. Kalisz </t>
  </si>
  <si>
    <t xml:space="preserve">m. Świnoujście   </t>
  </si>
  <si>
    <t xml:space="preserve">m. Szczecin  </t>
  </si>
  <si>
    <t xml:space="preserve">m. Koszalin  </t>
  </si>
  <si>
    <t>1.04-5.04</t>
  </si>
  <si>
    <t>1.05-10.05</t>
  </si>
  <si>
    <t>6.04-12.04</t>
  </si>
  <si>
    <t>11.05-17.05</t>
  </si>
  <si>
    <t>13.04-19.04</t>
  </si>
  <si>
    <t>18.05-24.05</t>
  </si>
  <si>
    <t>20.04-26.04</t>
  </si>
  <si>
    <t>25.05-31.05</t>
  </si>
  <si>
    <t>27.04-30.04</t>
  </si>
  <si>
    <t>1.06-7.06</t>
  </si>
  <si>
    <t>8.06-14.06</t>
  </si>
  <si>
    <t>15.06-21.06</t>
  </si>
  <si>
    <t>Województwo</t>
  </si>
  <si>
    <t>MIESIĄC SPRAWOZDAWCZY</t>
  </si>
  <si>
    <t xml:space="preserve">Zwolnienia z przyczyn dotyczących zakładu pracy </t>
  </si>
  <si>
    <t xml:space="preserve">Liczba osób zwolnionych
z przyczyn dotyczących
zakładu pracy </t>
  </si>
  <si>
    <t>Liczba osób
zgłoszonych 
do zwolnienia</t>
  </si>
  <si>
    <t>Liczba osób, którym wręczone zostaną wypowiedzenia zmieniające warunki pracy i płacy</t>
  </si>
  <si>
    <t>Czy likwidacja zakładu pracy (tak/nie)</t>
  </si>
  <si>
    <t xml:space="preserve">Planowany termin
dokonania zwolnień </t>
  </si>
  <si>
    <t>Plik dla WUP</t>
  </si>
  <si>
    <t xml:space="preserve">Sporządził(a) z WUP </t>
  </si>
  <si>
    <t>1. Proszę wybrać z listy rozwijanej powyżej województwo i okres sprawozdawczy (miesiąc i rok) za jaki przekazywane są dane</t>
  </si>
  <si>
    <r>
      <t>2. Proszę uzupełnić pole "</t>
    </r>
    <r>
      <rPr>
        <i/>
        <sz val="11"/>
        <rFont val="Arial"/>
        <family val="2"/>
        <charset val="238"/>
      </rPr>
      <t>sporządził(a) z WUP"</t>
    </r>
  </si>
  <si>
    <r>
      <t xml:space="preserve">3. Po wybraniu w arkuszu </t>
    </r>
    <r>
      <rPr>
        <i/>
        <sz val="11"/>
        <rFont val="Arial"/>
        <family val="2"/>
        <charset val="238"/>
      </rPr>
      <t>"dane podstawowe"</t>
    </r>
    <r>
      <rPr>
        <sz val="11"/>
        <rFont val="Arial"/>
        <family val="2"/>
        <charset val="238"/>
      </rPr>
      <t xml:space="preserve"> - województwa i okresu sprawozdawczego, w każdym kolejnym arkuszu informacje te zostaną automatycznie wyświetlone</t>
    </r>
  </si>
  <si>
    <t>Działania realizowane w ramach programu</t>
  </si>
  <si>
    <t>Liczba osób
objętych programem 
zwolnień monitorowanych</t>
  </si>
  <si>
    <t>Planowany termin 
dokonania zwolnień monitorowanych</t>
  </si>
  <si>
    <t>Informacje ogólne</t>
  </si>
  <si>
    <t>Zwolnienia monitorowane</t>
  </si>
  <si>
    <t>Zgłoszenia zwolnień</t>
  </si>
  <si>
    <t>Zwolnienia grupowe</t>
  </si>
  <si>
    <r>
      <t xml:space="preserve">5. W kolumnie </t>
    </r>
    <r>
      <rPr>
        <i/>
        <sz val="11"/>
        <rFont val="Arial"/>
        <family val="2"/>
        <charset val="238"/>
      </rPr>
      <t xml:space="preserve">"sekcja PKD" </t>
    </r>
    <r>
      <rPr>
        <sz val="11"/>
        <rFont val="Arial"/>
        <family val="2"/>
        <charset val="238"/>
      </rPr>
      <t>prosimy wpisać tę, w której firma dokonuje zwolnień</t>
    </r>
  </si>
  <si>
    <r>
      <t xml:space="preserve">REGON zakładu pracy 
</t>
    </r>
    <r>
      <rPr>
        <b/>
        <sz val="10"/>
        <rFont val="Calibri"/>
        <family val="2"/>
        <charset val="238"/>
        <scheme val="minor"/>
      </rPr>
      <t>(14-cyfrowy)</t>
    </r>
  </si>
  <si>
    <r>
      <t xml:space="preserve"> PKD 
</t>
    </r>
    <r>
      <rPr>
        <b/>
        <sz val="10"/>
        <rFont val="Calibri"/>
        <family val="2"/>
        <charset val="238"/>
        <scheme val="minor"/>
      </rPr>
      <t>(4 znaki)</t>
    </r>
  </si>
  <si>
    <r>
      <t xml:space="preserve">Data zgłoszenia informacji do PUP 
</t>
    </r>
    <r>
      <rPr>
        <b/>
        <sz val="10"/>
        <rFont val="Calibri"/>
        <family val="2"/>
        <charset val="238"/>
        <scheme val="minor"/>
      </rPr>
      <t>(dd-mm-rrrr)</t>
    </r>
  </si>
  <si>
    <t>Hubert Samul</t>
  </si>
  <si>
    <t>h.samul@wup.mazowsze.pl</t>
  </si>
  <si>
    <t>48 22 578 44 17</t>
  </si>
  <si>
    <t>49.41</t>
  </si>
  <si>
    <t>30.04.2022</t>
  </si>
  <si>
    <t>tak</t>
  </si>
  <si>
    <t>21.01.2022</t>
  </si>
  <si>
    <t>AFT Altmann Polska Sp.z o.o.</t>
  </si>
  <si>
    <t>SEITO Polska Sp. z o.o.</t>
  </si>
  <si>
    <t>34020163700000</t>
  </si>
  <si>
    <t>7830Z</t>
  </si>
  <si>
    <t>19.11.2021</t>
  </si>
  <si>
    <t>Carrefour Polska Sp. z o.o.                                               ul. Targowa 72                                             03-734  Warszawa</t>
  </si>
  <si>
    <t>070569406</t>
  </si>
  <si>
    <t>4711Z</t>
  </si>
  <si>
    <t xml:space="preserve">02-06-2022 r. </t>
  </si>
  <si>
    <t xml:space="preserve">Pracodawca sfinansuje pracownikom program wspracia w poszukiwaniu pracy - outplacment </t>
  </si>
  <si>
    <t>Astellas Pharma                                       ul. Ośmańska 14                                    02-283 Warszawa</t>
  </si>
  <si>
    <t>4646Z</t>
  </si>
  <si>
    <t xml:space="preserve">03-06-2022 r. </t>
  </si>
  <si>
    <t>nie</t>
  </si>
  <si>
    <t xml:space="preserve">BNP Paribas Bank Polska S.A.                  ul. M. Kasprzaka  10/16                           01-211 Warszawa </t>
  </si>
  <si>
    <t>4771Z</t>
  </si>
  <si>
    <t xml:space="preserve">Bank Pocztowy Spólka Akcyjna                                  ul. Jagiellońska 17                                                       85-959 Bydgoszcz </t>
  </si>
  <si>
    <t>002482470</t>
  </si>
  <si>
    <t>6419Z</t>
  </si>
  <si>
    <t xml:space="preserve">Idea Money S.A.                                                     ul. Przyokopowa 33                                  01-208 Warszawa </t>
  </si>
  <si>
    <t>141138798</t>
  </si>
  <si>
    <t>6499Z</t>
  </si>
  <si>
    <t>MULTI-AUT SPÓŁKA Z O. 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</si>
</sst>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15]General"/>
    <numFmt numFmtId="165" formatCode="00000000000"/>
  </numFmts>
  <fonts count="18">
    <font>
      <sz val="10"/>
      <name val="Arial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i/>
      <sz val="8"/>
      <name val="Arial"/>
      <family val="2"/>
      <charset val="238"/>
    </font>
    <font>
      <b/>
      <sz val="12"/>
      <name val="Arial"/>
      <family val="2"/>
      <charset val="238"/>
    </font>
    <font>
      <b/>
      <sz val="20"/>
      <color rgb="FFFF0000"/>
      <name val="Calibri"/>
      <family val="2"/>
      <charset val="238"/>
    </font>
    <font>
      <sz val="11"/>
      <name val="Arial"/>
      <family val="2"/>
      <charset val="238"/>
    </font>
    <font>
      <b/>
      <u/>
      <sz val="10"/>
      <name val="Arial"/>
      <family val="2"/>
      <charset val="238"/>
    </font>
    <font>
      <i/>
      <sz val="11"/>
      <name val="Arial"/>
      <family val="2"/>
      <charset val="238"/>
    </font>
    <font>
      <u/>
      <sz val="10"/>
      <color theme="10"/>
      <name val="Arial"/>
      <family val="2"/>
      <charset val="238"/>
    </font>
    <font>
      <u/>
      <sz val="10"/>
      <color theme="10"/>
      <name val="Arial"/>
      <family val="2"/>
      <charset val="238"/>
    </font>
    <font>
      <sz val="10"/>
      <color rgb="FF000000"/>
      <name val="Arial1"/>
      <charset val="238"/>
    </font>
    <font>
      <sz val="10"/>
      <name val="Calibri"/>
      <family val="2"/>
      <charset val="238"/>
      <scheme val="minor"/>
    </font>
    <font>
      <b/>
      <sz val="10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4"/>
      <name val="Calibri"/>
      <family val="2"/>
      <charset val="238"/>
      <scheme val="minor"/>
    </font>
    <font>
      <u/>
      <sz val="10"/>
      <color theme="10"/>
      <name val="Arial"/>
      <charset val="23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5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164" fontId="11" fillId="0" borderId="0" applyBorder="0" applyProtection="0"/>
    <xf numFmtId="0" fontId="17" fillId="0" borderId="0" applyNumberFormat="0" applyFill="0" applyBorder="0" applyAlignment="0" applyProtection="0"/>
  </cellStyleXfs>
  <cellXfs count="75">
    <xf numFmtId="0" fontId="0" fillId="0" borderId="0" xfId="0"/>
    <xf numFmtId="0" fontId="2" fillId="0" borderId="1" xfId="0" applyFont="1" applyBorder="1"/>
    <xf numFmtId="0" fontId="0" fillId="2" borderId="0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8" xfId="0" applyFill="1" applyBorder="1"/>
    <xf numFmtId="0" fontId="0" fillId="2" borderId="7" xfId="0" applyFill="1" applyBorder="1"/>
    <xf numFmtId="0" fontId="0" fillId="2" borderId="10" xfId="0" applyFill="1" applyBorder="1"/>
    <xf numFmtId="0" fontId="3" fillId="2" borderId="0" xfId="0" applyFont="1" applyFill="1" applyBorder="1" applyAlignment="1">
      <alignment horizontal="center"/>
    </xf>
    <xf numFmtId="0" fontId="2" fillId="0" borderId="0" xfId="0" applyFont="1"/>
    <xf numFmtId="0" fontId="4" fillId="0" borderId="0" xfId="0" applyFont="1"/>
    <xf numFmtId="0" fontId="1" fillId="2" borderId="11" xfId="0" applyFont="1" applyFill="1" applyBorder="1" applyAlignment="1">
      <alignment horizontal="left" vertical="center"/>
    </xf>
    <xf numFmtId="49" fontId="2" fillId="0" borderId="0" xfId="0" applyNumberFormat="1" applyFont="1" applyAlignment="1"/>
    <xf numFmtId="49" fontId="0" fillId="0" borderId="0" xfId="0" applyNumberFormat="1" applyAlignment="1"/>
    <xf numFmtId="0" fontId="1" fillId="0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right"/>
    </xf>
    <xf numFmtId="0" fontId="0" fillId="0" borderId="5" xfId="0" applyBorder="1"/>
    <xf numFmtId="0" fontId="2" fillId="0" borderId="0" xfId="0" applyFont="1" applyAlignment="1"/>
    <xf numFmtId="0" fontId="5" fillId="0" borderId="0" xfId="0" applyFont="1"/>
    <xf numFmtId="0" fontId="7" fillId="0" borderId="0" xfId="0" applyFont="1"/>
    <xf numFmtId="0" fontId="0" fillId="0" borderId="0" xfId="0" applyAlignment="1">
      <alignment horizontal="left" vertical="center" wrapText="1"/>
    </xf>
    <xf numFmtId="0" fontId="0" fillId="0" borderId="12" xfId="0" applyBorder="1"/>
    <xf numFmtId="0" fontId="2" fillId="2" borderId="9" xfId="0" applyFont="1" applyFill="1" applyBorder="1"/>
    <xf numFmtId="0" fontId="2" fillId="0" borderId="0" xfId="1"/>
    <xf numFmtId="0" fontId="2" fillId="0" borderId="0" xfId="1" applyFill="1"/>
    <xf numFmtId="0" fontId="9" fillId="0" borderId="1" xfId="2" applyFill="1" applyBorder="1" applyAlignment="1"/>
    <xf numFmtId="3" fontId="2" fillId="0" borderId="1" xfId="0" applyNumberFormat="1" applyFont="1" applyFill="1" applyBorder="1" applyAlignment="1"/>
    <xf numFmtId="0" fontId="12" fillId="0" borderId="0" xfId="0" applyFont="1" applyAlignment="1">
      <alignment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Fill="1" applyBorder="1" applyAlignment="1">
      <alignment vertical="center" wrapText="1"/>
    </xf>
    <xf numFmtId="1" fontId="12" fillId="0" borderId="0" xfId="0" applyNumberFormat="1" applyFont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49" fontId="13" fillId="3" borderId="1" xfId="0" applyNumberFormat="1" applyFont="1" applyFill="1" applyBorder="1" applyAlignment="1" applyProtection="1">
      <alignment vertical="center" wrapText="1"/>
      <protection locked="0"/>
    </xf>
    <xf numFmtId="1" fontId="13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1" fontId="12" fillId="0" borderId="0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Border="1" applyAlignment="1">
      <alignment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vertical="center" wrapText="1"/>
    </xf>
    <xf numFmtId="1" fontId="12" fillId="2" borderId="1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wrapText="1"/>
    </xf>
    <xf numFmtId="0" fontId="14" fillId="2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14" fontId="12" fillId="0" borderId="2" xfId="0" applyNumberFormat="1" applyFont="1" applyBorder="1" applyAlignment="1">
      <alignment horizontal="center" vertical="center"/>
    </xf>
    <xf numFmtId="14" fontId="12" fillId="0" borderId="1" xfId="0" applyNumberFormat="1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/>
    </xf>
    <xf numFmtId="14" fontId="12" fillId="0" borderId="1" xfId="0" applyNumberFormat="1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wrapText="1"/>
    </xf>
    <xf numFmtId="0" fontId="13" fillId="0" borderId="0" xfId="0" applyFont="1" applyBorder="1" applyAlignment="1">
      <alignment horizontal="left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</cellXfs>
  <cellStyles count="6">
    <cellStyle name="Excel Built-in Normal" xfId="4"/>
    <cellStyle name="Hiperłącze" xfId="2" builtinId="8"/>
    <cellStyle name="Hiperłącze 2" xfId="3"/>
    <cellStyle name="Hiperłącze 3" xfId="5"/>
    <cellStyle name="Normalny" xfId="0" builtinId="0"/>
    <cellStyle name="Normalny 2" xfId="1"/>
  </cellStyles>
  <dxfs count="2">
    <dxf>
      <fill>
        <patternFill>
          <bgColor rgb="FFFF5050"/>
        </patternFill>
      </fill>
    </dxf>
    <dxf>
      <fill>
        <patternFill>
          <bgColor rgb="FFFF5050"/>
        </patternFill>
      </fill>
    </dxf>
  </dxfs>
  <tableStyles count="0" defaultTableStyle="TableStyleMedium9" defaultPivotStyle="PivotStyleLight16"/>
  <colors>
    <mruColors>
      <color rgb="FFFF5050"/>
      <color rgb="FFFF61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276225</xdr:colOff>
      <xdr:row>19</xdr:row>
      <xdr:rowOff>76199</xdr:rowOff>
    </xdr:from>
    <xdr:to>
      <xdr:col>4</xdr:col>
      <xdr:colOff>1638299</xdr:colOff>
      <xdr:row>25</xdr:row>
      <xdr:rowOff>160021</xdr:rowOff>
    </xdr:to>
    <xdr:pic>
      <xdr:nvPicPr>
        <xdr:cNvPr id="2" name="Obraz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7125" y="5229224"/>
          <a:ext cx="4419599" cy="14268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.samul@wup.mazowsze.p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2:G39"/>
  <sheetViews>
    <sheetView zoomScale="75" zoomScaleNormal="75" workbookViewId="0">
      <selection activeCell="F8" sqref="F8"/>
    </sheetView>
  </sheetViews>
  <sheetFormatPr defaultRowHeight="12.75"/>
  <cols>
    <col min="2" max="2" width="6.85546875" customWidth="1"/>
    <col min="3" max="3" width="34.85546875" customWidth="1"/>
    <col min="4" max="4" width="45.85546875" customWidth="1"/>
    <col min="5" max="5" width="37.42578125" customWidth="1"/>
    <col min="6" max="6" width="30.5703125" customWidth="1"/>
    <col min="7" max="7" width="28.5703125" customWidth="1"/>
  </cols>
  <sheetData>
    <row r="2" spans="3:7" ht="15.75">
      <c r="C2" s="11" t="s">
        <v>436</v>
      </c>
    </row>
    <row r="4" spans="3:7" ht="15.75">
      <c r="C4" s="11" t="s">
        <v>263</v>
      </c>
    </row>
    <row r="5" spans="3:7" ht="13.5" thickBot="1"/>
    <row r="6" spans="3:7" ht="39.75" customHeight="1" thickBot="1">
      <c r="C6" s="12" t="s">
        <v>262</v>
      </c>
      <c r="D6" s="15" t="s">
        <v>269</v>
      </c>
    </row>
    <row r="7" spans="3:7" ht="39.75" customHeight="1" thickBot="1">
      <c r="C7" s="12" t="s">
        <v>429</v>
      </c>
      <c r="D7" s="16" t="s">
        <v>282</v>
      </c>
      <c r="E7" s="10"/>
    </row>
    <row r="8" spans="3:7" ht="38.25" customHeight="1" thickBot="1">
      <c r="C8" s="12" t="s">
        <v>293</v>
      </c>
      <c r="D8" s="16">
        <v>2022</v>
      </c>
      <c r="E8" s="23"/>
    </row>
    <row r="12" spans="3:7">
      <c r="C12" s="3"/>
      <c r="D12" s="4"/>
      <c r="E12" s="4"/>
      <c r="F12" s="4"/>
      <c r="G12" s="5"/>
    </row>
    <row r="13" spans="3:7" ht="51.75" customHeight="1">
      <c r="C13" s="17" t="s">
        <v>437</v>
      </c>
      <c r="D13" s="1" t="s">
        <v>452</v>
      </c>
      <c r="E13" s="27" t="s">
        <v>453</v>
      </c>
      <c r="F13" s="28" t="s">
        <v>454</v>
      </c>
      <c r="G13" s="6"/>
    </row>
    <row r="14" spans="3:7">
      <c r="C14" s="7"/>
      <c r="D14" s="9" t="s">
        <v>260</v>
      </c>
      <c r="E14" s="9" t="s">
        <v>259</v>
      </c>
      <c r="F14" s="9" t="s">
        <v>261</v>
      </c>
      <c r="G14" s="6"/>
    </row>
    <row r="15" spans="3:7">
      <c r="C15" s="7"/>
      <c r="D15" s="2"/>
      <c r="E15" s="2"/>
      <c r="F15" s="2"/>
      <c r="G15" s="6"/>
    </row>
    <row r="16" spans="3:7">
      <c r="C16" s="7"/>
      <c r="D16" s="24"/>
      <c r="E16" s="2"/>
      <c r="F16" s="2"/>
      <c r="G16" s="8"/>
    </row>
    <row r="17" spans="3:6">
      <c r="C17" s="18"/>
      <c r="E17" s="18"/>
      <c r="F17" s="18"/>
    </row>
    <row r="20" spans="3:6">
      <c r="C20" s="21" t="s">
        <v>279</v>
      </c>
    </row>
    <row r="22" spans="3:6">
      <c r="C22" s="68" t="s">
        <v>438</v>
      </c>
      <c r="D22" s="19"/>
    </row>
    <row r="23" spans="3:6" ht="26.25">
      <c r="C23" s="68"/>
      <c r="D23" s="20" t="s">
        <v>280</v>
      </c>
    </row>
    <row r="24" spans="3:6" ht="28.5" customHeight="1">
      <c r="C24" s="68"/>
    </row>
    <row r="25" spans="3:6">
      <c r="C25" s="22"/>
    </row>
    <row r="26" spans="3:6">
      <c r="C26" s="68" t="s">
        <v>439</v>
      </c>
    </row>
    <row r="27" spans="3:6">
      <c r="C27" s="68"/>
    </row>
    <row r="28" spans="3:6" ht="23.25" customHeight="1">
      <c r="C28" s="68"/>
    </row>
    <row r="29" spans="3:6">
      <c r="C29" s="22"/>
    </row>
    <row r="30" spans="3:6" ht="12.75" customHeight="1">
      <c r="C30" s="68" t="s">
        <v>440</v>
      </c>
    </row>
    <row r="31" spans="3:6" ht="12.75" customHeight="1">
      <c r="C31" s="68"/>
    </row>
    <row r="32" spans="3:6" ht="21.75" customHeight="1">
      <c r="C32" s="68"/>
    </row>
    <row r="33" spans="3:3" ht="14.25" customHeight="1">
      <c r="C33" s="68"/>
    </row>
    <row r="34" spans="3:3">
      <c r="C34" s="68"/>
    </row>
    <row r="35" spans="3:3">
      <c r="C35" s="68"/>
    </row>
    <row r="37" spans="3:3" ht="12.75" customHeight="1">
      <c r="C37" s="68" t="s">
        <v>448</v>
      </c>
    </row>
    <row r="38" spans="3:3" ht="12.75" customHeight="1">
      <c r="C38" s="68"/>
    </row>
    <row r="39" spans="3:3" ht="19.5" customHeight="1">
      <c r="C39" s="68"/>
    </row>
  </sheetData>
  <mergeCells count="4">
    <mergeCell ref="C37:C39"/>
    <mergeCell ref="C22:C24"/>
    <mergeCell ref="C26:C28"/>
    <mergeCell ref="C30:C35"/>
  </mergeCells>
  <hyperlinks>
    <hyperlink ref="E13" r:id="rId1"/>
  </hyperlinks>
  <pageMargins left="0.7" right="0.7" top="0.75" bottom="0.75" header="0.3" footer="0.3"/>
  <pageSetup paperSize="9" scale="69" orientation="landscape" r:id="rId2"/>
  <drawing r:id="rId3"/>
  <extLst>
    <ext xmlns:x14="http://schemas.microsoft.com/office/spreadsheetml/2009/9/main" uri="{CCE6A557-97BC-4b89-ADB6-D9C93CAAB3DF}">
      <x14:dataValidations xmlns:xm="http://schemas.microsoft.com/office/excel/2006/main" xWindow="543" yWindow="340" count="3">
        <x14:dataValidation type="list" showInputMessage="1" showErrorMessage="1" error="Proszę wybrać województwo_x000a_" prompt="Proszę wybrać właściwe województwo">
          <x14:formula1>
            <xm:f>listy!$A$1:$P$1</xm:f>
          </x14:formula1>
          <xm:sqref>D6</xm:sqref>
        </x14:dataValidation>
        <x14:dataValidation type="list" showInputMessage="1" showErrorMessage="1" error="Proszę wybrać miesiąc">
          <x14:formula1>
            <xm:f>listy!$T$1:$T$12</xm:f>
          </x14:formula1>
          <xm:sqref>D7</xm:sqref>
        </x14:dataValidation>
        <x14:dataValidation type="list" showInputMessage="1" showErrorMessage="1">
          <x14:formula1>
            <xm:f>listy!U$1:U$18</xm:f>
          </x14:formula1>
          <xm:sqref>D8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5"/>
  <sheetViews>
    <sheetView tabSelected="1" view="pageBreakPreview" zoomScale="70" zoomScaleNormal="100" zoomScaleSheetLayoutView="70" workbookViewId="0">
      <selection activeCell="E17" sqref="E17"/>
    </sheetView>
  </sheetViews>
  <sheetFormatPr defaultColWidth="9.140625" defaultRowHeight="90.75" customHeight="1"/>
  <cols>
    <col min="1" max="1" width="1.85546875" style="29" customWidth="1"/>
    <col min="2" max="3" width="21.5703125" style="30" customWidth="1"/>
    <col min="4" max="4" width="40" style="39" customWidth="1"/>
    <col min="5" max="5" width="25.5703125" style="32" customWidth="1"/>
    <col min="6" max="6" width="13.140625" style="30" customWidth="1"/>
    <col min="7" max="7" width="14.42578125" style="30" customWidth="1"/>
    <col min="8" max="8" width="22.7109375" style="30" customWidth="1"/>
    <col min="9" max="9" width="17.28515625" style="30" customWidth="1"/>
    <col min="10" max="10" width="14.42578125" style="30" customWidth="1"/>
    <col min="11" max="11" width="26.7109375" style="30" customWidth="1"/>
    <col min="12" max="12" width="16.85546875" style="30" customWidth="1"/>
    <col min="13" max="13" width="24.85546875" style="30" customWidth="1"/>
    <col min="14" max="14" width="17.7109375" style="30" customWidth="1"/>
    <col min="15" max="15" width="23.7109375" style="30" customWidth="1"/>
    <col min="16" max="16384" width="9.140625" style="29"/>
  </cols>
  <sheetData>
    <row r="1" spans="1:15" ht="20.100000000000001" customHeight="1">
      <c r="D1" s="31"/>
      <c r="F1" s="33"/>
    </row>
    <row r="2" spans="1:15" ht="20.100000000000001" customHeight="1">
      <c r="B2" s="34" t="s">
        <v>2</v>
      </c>
      <c r="C2" s="35" t="str">
        <f>'Dane podstawowe'!$D$6</f>
        <v>MAZOWIECKIE</v>
      </c>
      <c r="D2" s="36" t="str">
        <f>'Dane podstawowe'!D7</f>
        <v xml:space="preserve">Luty </v>
      </c>
      <c r="E2" s="37">
        <f>'Dane podstawowe'!D8</f>
        <v>2022</v>
      </c>
      <c r="F2" s="38"/>
      <c r="G2" s="38"/>
      <c r="H2" s="38"/>
      <c r="I2" s="38"/>
    </row>
    <row r="3" spans="1:15" ht="20.100000000000001" customHeight="1">
      <c r="E3" s="40"/>
    </row>
    <row r="4" spans="1:15" ht="20.100000000000001" customHeight="1">
      <c r="B4" s="69" t="s">
        <v>430</v>
      </c>
      <c r="C4" s="69"/>
      <c r="D4" s="70"/>
      <c r="E4" s="40"/>
    </row>
    <row r="5" spans="1:15" ht="20.100000000000001" customHeight="1">
      <c r="B5" s="41"/>
      <c r="C5" s="41"/>
      <c r="D5" s="42"/>
      <c r="E5" s="40"/>
    </row>
    <row r="6" spans="1:15" ht="90.75" customHeight="1">
      <c r="B6" s="71" t="s">
        <v>444</v>
      </c>
      <c r="C6" s="71"/>
      <c r="D6" s="71"/>
      <c r="E6" s="71"/>
      <c r="F6" s="71"/>
      <c r="G6" s="72" t="s">
        <v>446</v>
      </c>
      <c r="H6" s="73"/>
      <c r="I6" s="73"/>
      <c r="J6" s="74"/>
      <c r="K6" s="48" t="s">
        <v>447</v>
      </c>
      <c r="L6" s="71" t="s">
        <v>445</v>
      </c>
      <c r="M6" s="71"/>
      <c r="N6" s="71"/>
      <c r="O6" s="43"/>
    </row>
    <row r="7" spans="1:15" ht="90.75" customHeight="1">
      <c r="B7" s="44" t="s">
        <v>1</v>
      </c>
      <c r="C7" s="44" t="s">
        <v>428</v>
      </c>
      <c r="D7" s="45" t="s">
        <v>0</v>
      </c>
      <c r="E7" s="46" t="s">
        <v>449</v>
      </c>
      <c r="F7" s="44" t="s">
        <v>450</v>
      </c>
      <c r="G7" s="44" t="s">
        <v>432</v>
      </c>
      <c r="H7" s="44" t="s">
        <v>435</v>
      </c>
      <c r="I7" s="44" t="s">
        <v>433</v>
      </c>
      <c r="J7" s="44" t="s">
        <v>434</v>
      </c>
      <c r="K7" s="44" t="s">
        <v>431</v>
      </c>
      <c r="L7" s="44" t="s">
        <v>442</v>
      </c>
      <c r="M7" s="44" t="s">
        <v>441</v>
      </c>
      <c r="N7" s="44" t="s">
        <v>443</v>
      </c>
      <c r="O7" s="44" t="s">
        <v>451</v>
      </c>
    </row>
    <row r="8" spans="1:15" ht="18.75">
      <c r="A8" s="47"/>
      <c r="B8" s="51" t="s">
        <v>58</v>
      </c>
      <c r="C8" s="51" t="s">
        <v>269</v>
      </c>
      <c r="D8" s="50" t="s">
        <v>459</v>
      </c>
      <c r="E8" s="52"/>
      <c r="F8" s="51" t="s">
        <v>455</v>
      </c>
      <c r="G8" s="53">
        <v>0</v>
      </c>
      <c r="H8" s="54" t="s">
        <v>456</v>
      </c>
      <c r="I8" s="53">
        <v>0</v>
      </c>
      <c r="J8" s="53" t="s">
        <v>457</v>
      </c>
      <c r="K8" s="53">
        <v>36</v>
      </c>
      <c r="L8" s="53"/>
      <c r="M8" s="53"/>
      <c r="N8" s="53"/>
      <c r="O8" s="55" t="s">
        <v>458</v>
      </c>
    </row>
    <row r="9" spans="1:15" ht="90.75" customHeight="1">
      <c r="A9" s="47"/>
      <c r="B9" s="51" t="s">
        <v>87</v>
      </c>
      <c r="C9" s="51" t="s">
        <v>269</v>
      </c>
      <c r="D9" s="50" t="s">
        <v>460</v>
      </c>
      <c r="E9" s="56" t="s">
        <v>461</v>
      </c>
      <c r="F9" s="57" t="s">
        <v>462</v>
      </c>
      <c r="G9" s="57">
        <v>0</v>
      </c>
      <c r="H9" s="49"/>
      <c r="I9" s="57">
        <v>0</v>
      </c>
      <c r="J9" s="57">
        <v>0</v>
      </c>
      <c r="K9" s="57">
        <v>15</v>
      </c>
      <c r="L9" s="57">
        <v>0</v>
      </c>
      <c r="M9" s="57">
        <v>0</v>
      </c>
      <c r="N9" s="57">
        <v>0</v>
      </c>
      <c r="O9" s="55" t="s">
        <v>463</v>
      </c>
    </row>
    <row r="10" spans="1:15" ht="90.75" customHeight="1">
      <c r="A10" s="47"/>
      <c r="B10" s="51" t="s">
        <v>91</v>
      </c>
      <c r="C10" s="51" t="s">
        <v>269</v>
      </c>
      <c r="D10" s="50" t="s">
        <v>464</v>
      </c>
      <c r="E10" s="56" t="s">
        <v>465</v>
      </c>
      <c r="F10" s="57" t="s">
        <v>466</v>
      </c>
      <c r="G10" s="57">
        <v>160</v>
      </c>
      <c r="H10" s="49" t="s">
        <v>467</v>
      </c>
      <c r="I10" s="57"/>
      <c r="J10" s="57" t="s">
        <v>457</v>
      </c>
      <c r="K10" s="57"/>
      <c r="L10" s="57">
        <v>160</v>
      </c>
      <c r="M10" s="57" t="s">
        <v>468</v>
      </c>
      <c r="N10" s="57"/>
      <c r="O10" s="55">
        <v>44601</v>
      </c>
    </row>
    <row r="11" spans="1:15" ht="90.75" customHeight="1">
      <c r="A11" s="47"/>
      <c r="B11" s="51" t="s">
        <v>91</v>
      </c>
      <c r="C11" s="51" t="s">
        <v>269</v>
      </c>
      <c r="D11" s="50" t="s">
        <v>469</v>
      </c>
      <c r="E11" s="56">
        <v>12773490</v>
      </c>
      <c r="F11" s="57" t="s">
        <v>470</v>
      </c>
      <c r="G11" s="57">
        <v>19</v>
      </c>
      <c r="H11" s="49" t="s">
        <v>471</v>
      </c>
      <c r="I11" s="57"/>
      <c r="J11" s="57" t="s">
        <v>472</v>
      </c>
      <c r="K11" s="57"/>
      <c r="L11" s="57"/>
      <c r="M11" s="57"/>
      <c r="N11" s="57"/>
      <c r="O11" s="55">
        <v>44613</v>
      </c>
    </row>
    <row r="12" spans="1:15" ht="90.75" customHeight="1">
      <c r="B12" s="58" t="s">
        <v>91</v>
      </c>
      <c r="C12" s="51" t="s">
        <v>269</v>
      </c>
      <c r="D12" s="50" t="s">
        <v>473</v>
      </c>
      <c r="E12" s="59">
        <v>10778878</v>
      </c>
      <c r="F12" s="51" t="s">
        <v>474</v>
      </c>
      <c r="G12" s="51">
        <v>0</v>
      </c>
      <c r="H12" s="61">
        <v>0</v>
      </c>
      <c r="I12" s="51">
        <v>0</v>
      </c>
      <c r="J12" s="57">
        <v>0</v>
      </c>
      <c r="K12" s="49">
        <v>28</v>
      </c>
      <c r="L12" s="51">
        <v>0</v>
      </c>
      <c r="M12" s="51">
        <v>0</v>
      </c>
      <c r="N12" s="62">
        <v>0</v>
      </c>
      <c r="O12" s="55">
        <v>44620</v>
      </c>
    </row>
    <row r="13" spans="1:15" ht="90.75" customHeight="1">
      <c r="B13" s="58" t="s">
        <v>91</v>
      </c>
      <c r="C13" s="51" t="s">
        <v>269</v>
      </c>
      <c r="D13" s="50" t="s">
        <v>475</v>
      </c>
      <c r="E13" s="56" t="s">
        <v>476</v>
      </c>
      <c r="F13" s="51" t="s">
        <v>477</v>
      </c>
      <c r="G13" s="51">
        <v>0</v>
      </c>
      <c r="H13" s="61">
        <v>0</v>
      </c>
      <c r="I13" s="51">
        <v>0</v>
      </c>
      <c r="J13" s="57">
        <v>0</v>
      </c>
      <c r="K13" s="49">
        <v>3</v>
      </c>
      <c r="L13" s="51">
        <v>0</v>
      </c>
      <c r="M13" s="51">
        <v>0</v>
      </c>
      <c r="N13" s="51">
        <v>0</v>
      </c>
      <c r="O13" s="55">
        <v>44617</v>
      </c>
    </row>
    <row r="14" spans="1:15" ht="90.75" customHeight="1">
      <c r="B14" s="58" t="s">
        <v>91</v>
      </c>
      <c r="C14" s="51" t="s">
        <v>269</v>
      </c>
      <c r="D14" s="50" t="s">
        <v>478</v>
      </c>
      <c r="E14" s="49" t="s">
        <v>479</v>
      </c>
      <c r="F14" s="49" t="s">
        <v>480</v>
      </c>
      <c r="G14" s="49">
        <v>0</v>
      </c>
      <c r="H14" s="49">
        <v>0</v>
      </c>
      <c r="I14" s="49">
        <v>0</v>
      </c>
      <c r="J14" s="49">
        <v>0</v>
      </c>
      <c r="K14" s="49">
        <v>35</v>
      </c>
      <c r="L14" s="49">
        <v>0</v>
      </c>
      <c r="M14" s="49">
        <v>0</v>
      </c>
      <c r="N14" s="49">
        <v>0</v>
      </c>
      <c r="O14" s="60">
        <v>44621</v>
      </c>
    </row>
    <row r="15" spans="1:15" ht="90.75" customHeight="1">
      <c r="B15" s="63" t="s">
        <v>71</v>
      </c>
      <c r="C15" s="63" t="s">
        <v>269</v>
      </c>
      <c r="D15" s="64" t="s">
        <v>481</v>
      </c>
      <c r="E15" s="63"/>
      <c r="F15" s="63">
        <v>3320</v>
      </c>
      <c r="G15" s="65"/>
      <c r="H15" s="61"/>
      <c r="I15" s="65"/>
      <c r="J15" s="66"/>
      <c r="K15" s="65">
        <v>24</v>
      </c>
      <c r="L15" s="65"/>
      <c r="M15" s="65"/>
      <c r="N15" s="65"/>
      <c r="O15" s="67">
        <v>44589</v>
      </c>
    </row>
  </sheetData>
  <mergeCells count="4">
    <mergeCell ref="B4:D4"/>
    <mergeCell ref="B6:F6"/>
    <mergeCell ref="L6:N6"/>
    <mergeCell ref="G6:J6"/>
  </mergeCells>
  <conditionalFormatting sqref="C2">
    <cfRule type="expression" dxfId="1" priority="3">
      <formula>$C$2=0</formula>
    </cfRule>
  </conditionalFormatting>
  <conditionalFormatting sqref="D2">
    <cfRule type="expression" dxfId="0" priority="2">
      <formula>$D$2=0</formula>
    </cfRule>
  </conditionalFormatting>
  <dataValidations disablePrompts="1" count="1">
    <dataValidation type="textLength" operator="equal" allowBlank="1" showInputMessage="1" showErrorMessage="1" prompt="Proszę wpisać REGON w formacie XXXXXXXXXXXXXX - 14 cyfrowy" sqref="E8">
      <formula1>14</formula1>
    </dataValidation>
  </dataValidations>
  <pageMargins left="0.70866141732283472" right="0.70866141732283472" top="0.74803149606299213" bottom="0.74803149606299213" header="0.31496062992125984" footer="0.31496062992125984"/>
  <pageSetup paperSize="9" scale="4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3"/>
  <sheetViews>
    <sheetView topLeftCell="D1" workbookViewId="0">
      <selection activeCell="W18" sqref="W18"/>
    </sheetView>
  </sheetViews>
  <sheetFormatPr defaultRowHeight="12.75"/>
  <cols>
    <col min="1" max="2" width="17.42578125" customWidth="1"/>
    <col min="3" max="3" width="13.7109375" customWidth="1"/>
    <col min="4" max="4" width="16.28515625" customWidth="1"/>
    <col min="5" max="5" width="16.85546875" customWidth="1"/>
    <col min="6" max="6" width="14.7109375" customWidth="1"/>
    <col min="7" max="7" width="16.28515625" customWidth="1"/>
    <col min="8" max="8" width="12.5703125" customWidth="1"/>
    <col min="20" max="20" width="18.140625" style="14" customWidth="1"/>
    <col min="23" max="23" width="16.140625" customWidth="1"/>
  </cols>
  <sheetData>
    <row r="1" spans="1:23">
      <c r="A1" t="s">
        <v>266</v>
      </c>
      <c r="B1" t="s">
        <v>294</v>
      </c>
      <c r="C1" s="10" t="s">
        <v>264</v>
      </c>
      <c r="D1" t="s">
        <v>265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R1">
        <v>1</v>
      </c>
      <c r="S1" t="s">
        <v>3</v>
      </c>
      <c r="T1" s="13" t="s">
        <v>281</v>
      </c>
      <c r="U1">
        <v>2019</v>
      </c>
      <c r="W1" s="25" t="s">
        <v>416</v>
      </c>
    </row>
    <row r="2" spans="1:23">
      <c r="A2" s="10" t="s">
        <v>297</v>
      </c>
      <c r="B2" s="10" t="s">
        <v>295</v>
      </c>
      <c r="C2" s="10" t="s">
        <v>296</v>
      </c>
      <c r="D2" s="10" t="s">
        <v>372</v>
      </c>
      <c r="E2" s="10" t="s">
        <v>5</v>
      </c>
      <c r="F2" s="10" t="s">
        <v>29</v>
      </c>
      <c r="G2" t="s">
        <v>51</v>
      </c>
      <c r="H2" s="10" t="s">
        <v>30</v>
      </c>
      <c r="I2" s="10" t="s">
        <v>104</v>
      </c>
      <c r="J2" s="10" t="s">
        <v>129</v>
      </c>
      <c r="K2" s="10" t="s">
        <v>146</v>
      </c>
      <c r="L2" s="10" t="s">
        <v>165</v>
      </c>
      <c r="M2" s="10" t="s">
        <v>180</v>
      </c>
      <c r="N2" s="10" t="s">
        <v>193</v>
      </c>
      <c r="O2" s="10" t="s">
        <v>212</v>
      </c>
      <c r="P2" s="10" t="s">
        <v>241</v>
      </c>
      <c r="R2">
        <v>2</v>
      </c>
      <c r="S2" t="s">
        <v>4</v>
      </c>
      <c r="T2" s="13" t="s">
        <v>282</v>
      </c>
      <c r="U2">
        <v>2020</v>
      </c>
      <c r="W2" s="25" t="s">
        <v>418</v>
      </c>
    </row>
    <row r="3" spans="1:23">
      <c r="A3" s="10" t="s">
        <v>298</v>
      </c>
      <c r="B3" s="10" t="s">
        <v>327</v>
      </c>
      <c r="C3" s="10" t="s">
        <v>349</v>
      </c>
      <c r="D3" s="10" t="s">
        <v>373</v>
      </c>
      <c r="E3" s="10" t="s">
        <v>6</v>
      </c>
      <c r="F3" s="10" t="s">
        <v>30</v>
      </c>
      <c r="G3" s="10" t="s">
        <v>52</v>
      </c>
      <c r="H3" t="s">
        <v>93</v>
      </c>
      <c r="I3" t="s">
        <v>105</v>
      </c>
      <c r="J3" t="s">
        <v>130</v>
      </c>
      <c r="K3" t="s">
        <v>147</v>
      </c>
      <c r="L3" s="10" t="s">
        <v>131</v>
      </c>
      <c r="M3" s="10" t="s">
        <v>181</v>
      </c>
      <c r="N3" s="10" t="s">
        <v>194</v>
      </c>
      <c r="O3" t="s">
        <v>213</v>
      </c>
      <c r="P3" t="s">
        <v>242</v>
      </c>
      <c r="T3" s="13" t="s">
        <v>283</v>
      </c>
      <c r="U3">
        <v>2021</v>
      </c>
      <c r="W3" s="25" t="s">
        <v>420</v>
      </c>
    </row>
    <row r="4" spans="1:23">
      <c r="A4" s="10" t="s">
        <v>299</v>
      </c>
      <c r="B4" s="10" t="s">
        <v>328</v>
      </c>
      <c r="C4" s="10" t="s">
        <v>350</v>
      </c>
      <c r="D4" s="10" t="s">
        <v>374</v>
      </c>
      <c r="E4" s="10" t="s">
        <v>7</v>
      </c>
      <c r="F4" t="s">
        <v>31</v>
      </c>
      <c r="G4" t="s">
        <v>53</v>
      </c>
      <c r="H4" t="s">
        <v>94</v>
      </c>
      <c r="I4" t="s">
        <v>106</v>
      </c>
      <c r="J4" t="s">
        <v>131</v>
      </c>
      <c r="K4" t="s">
        <v>148</v>
      </c>
      <c r="L4" s="10" t="s">
        <v>166</v>
      </c>
      <c r="M4" t="s">
        <v>182</v>
      </c>
      <c r="N4" s="10" t="s">
        <v>195</v>
      </c>
      <c r="O4" s="10" t="s">
        <v>214</v>
      </c>
      <c r="P4" t="s">
        <v>243</v>
      </c>
      <c r="T4" s="13" t="s">
        <v>284</v>
      </c>
      <c r="U4">
        <v>2022</v>
      </c>
      <c r="W4" s="25" t="s">
        <v>422</v>
      </c>
    </row>
    <row r="5" spans="1:23">
      <c r="A5" s="10" t="s">
        <v>300</v>
      </c>
      <c r="B5" s="10" t="s">
        <v>329</v>
      </c>
      <c r="C5" s="10" t="s">
        <v>351</v>
      </c>
      <c r="D5" s="10" t="s">
        <v>375</v>
      </c>
      <c r="E5" s="10" t="s">
        <v>8</v>
      </c>
      <c r="F5" s="10" t="s">
        <v>32</v>
      </c>
      <c r="G5" t="s">
        <v>54</v>
      </c>
      <c r="H5" t="s">
        <v>95</v>
      </c>
      <c r="I5" t="s">
        <v>107</v>
      </c>
      <c r="J5" t="s">
        <v>132</v>
      </c>
      <c r="K5" t="s">
        <v>149</v>
      </c>
      <c r="L5" s="10" t="s">
        <v>167</v>
      </c>
      <c r="M5" t="s">
        <v>183</v>
      </c>
      <c r="N5" s="10" t="s">
        <v>196</v>
      </c>
      <c r="O5" t="s">
        <v>215</v>
      </c>
      <c r="P5" t="s">
        <v>244</v>
      </c>
      <c r="T5" s="13" t="s">
        <v>285</v>
      </c>
      <c r="U5">
        <v>2023</v>
      </c>
      <c r="W5" s="25" t="s">
        <v>424</v>
      </c>
    </row>
    <row r="6" spans="1:23">
      <c r="A6" s="10" t="s">
        <v>301</v>
      </c>
      <c r="B6" s="10" t="s">
        <v>330</v>
      </c>
      <c r="C6" s="10" t="s">
        <v>352</v>
      </c>
      <c r="D6" s="10" t="s">
        <v>376</v>
      </c>
      <c r="E6" s="10" t="s">
        <v>9</v>
      </c>
      <c r="F6" t="s">
        <v>33</v>
      </c>
      <c r="G6" t="s">
        <v>55</v>
      </c>
      <c r="H6" s="10" t="s">
        <v>96</v>
      </c>
      <c r="I6" t="s">
        <v>108</v>
      </c>
      <c r="J6" t="s">
        <v>133</v>
      </c>
      <c r="K6" t="s">
        <v>150</v>
      </c>
      <c r="L6" s="10" t="s">
        <v>168</v>
      </c>
      <c r="M6" t="s">
        <v>184</v>
      </c>
      <c r="N6" s="10" t="s">
        <v>197</v>
      </c>
      <c r="O6" t="s">
        <v>55</v>
      </c>
      <c r="P6" t="s">
        <v>245</v>
      </c>
      <c r="T6" s="13" t="s">
        <v>286</v>
      </c>
      <c r="U6">
        <v>2024</v>
      </c>
      <c r="W6" s="25" t="s">
        <v>417</v>
      </c>
    </row>
    <row r="7" spans="1:23">
      <c r="A7" s="10" t="s">
        <v>302</v>
      </c>
      <c r="B7" s="10" t="s">
        <v>331</v>
      </c>
      <c r="C7" s="10" t="s">
        <v>353</v>
      </c>
      <c r="D7" s="10" t="s">
        <v>377</v>
      </c>
      <c r="E7" s="10" t="s">
        <v>25</v>
      </c>
      <c r="F7" t="s">
        <v>34</v>
      </c>
      <c r="G7" t="s">
        <v>56</v>
      </c>
      <c r="H7" t="s">
        <v>97</v>
      </c>
      <c r="I7" t="s">
        <v>109</v>
      </c>
      <c r="J7" t="s">
        <v>134</v>
      </c>
      <c r="K7" s="10" t="s">
        <v>151</v>
      </c>
      <c r="L7" t="s">
        <v>169</v>
      </c>
      <c r="M7" s="10" t="s">
        <v>185</v>
      </c>
      <c r="N7" s="10" t="s">
        <v>198</v>
      </c>
      <c r="O7" t="s">
        <v>216</v>
      </c>
      <c r="P7" t="s">
        <v>246</v>
      </c>
      <c r="T7" s="13" t="s">
        <v>287</v>
      </c>
      <c r="U7">
        <v>2025</v>
      </c>
      <c r="W7" s="25" t="s">
        <v>419</v>
      </c>
    </row>
    <row r="8" spans="1:23">
      <c r="A8" s="10" t="s">
        <v>303</v>
      </c>
      <c r="B8" s="10" t="s">
        <v>332</v>
      </c>
      <c r="C8" s="10" t="s">
        <v>354</v>
      </c>
      <c r="D8" s="10" t="s">
        <v>378</v>
      </c>
      <c r="E8" s="10" t="s">
        <v>10</v>
      </c>
      <c r="F8" t="s">
        <v>35</v>
      </c>
      <c r="G8" t="s">
        <v>57</v>
      </c>
      <c r="H8" t="s">
        <v>98</v>
      </c>
      <c r="I8" t="s">
        <v>110</v>
      </c>
      <c r="J8" s="10" t="s">
        <v>135</v>
      </c>
      <c r="K8" t="s">
        <v>152</v>
      </c>
      <c r="L8" s="10" t="s">
        <v>170</v>
      </c>
      <c r="M8" t="s">
        <v>186</v>
      </c>
      <c r="N8" s="10" t="s">
        <v>199</v>
      </c>
      <c r="O8" t="s">
        <v>217</v>
      </c>
      <c r="P8" t="s">
        <v>247</v>
      </c>
      <c r="T8" s="13" t="s">
        <v>288</v>
      </c>
      <c r="U8">
        <v>2026</v>
      </c>
      <c r="W8" s="25" t="s">
        <v>421</v>
      </c>
    </row>
    <row r="9" spans="1:23">
      <c r="A9" s="10" t="s">
        <v>304</v>
      </c>
      <c r="B9" s="10" t="s">
        <v>333</v>
      </c>
      <c r="C9" s="10" t="s">
        <v>355</v>
      </c>
      <c r="D9" s="10" t="s">
        <v>379</v>
      </c>
      <c r="E9" s="10" t="s">
        <v>11</v>
      </c>
      <c r="F9" t="s">
        <v>36</v>
      </c>
      <c r="G9" t="s">
        <v>58</v>
      </c>
      <c r="H9" t="s">
        <v>99</v>
      </c>
      <c r="I9" t="s">
        <v>111</v>
      </c>
      <c r="J9" t="s">
        <v>136</v>
      </c>
      <c r="K9" t="s">
        <v>153</v>
      </c>
      <c r="L9" t="s">
        <v>171</v>
      </c>
      <c r="M9" t="s">
        <v>187</v>
      </c>
      <c r="N9" s="10" t="s">
        <v>200</v>
      </c>
      <c r="O9" t="s">
        <v>218</v>
      </c>
      <c r="P9" t="s">
        <v>248</v>
      </c>
      <c r="T9" s="13" t="s">
        <v>289</v>
      </c>
      <c r="U9">
        <v>2027</v>
      </c>
      <c r="W9" s="25" t="s">
        <v>423</v>
      </c>
    </row>
    <row r="10" spans="1:23">
      <c r="A10" s="10" t="s">
        <v>305</v>
      </c>
      <c r="B10" s="10" t="s">
        <v>334</v>
      </c>
      <c r="C10" s="10" t="s">
        <v>356</v>
      </c>
      <c r="D10" s="10" t="s">
        <v>380</v>
      </c>
      <c r="E10" s="10" t="s">
        <v>12</v>
      </c>
      <c r="F10" t="s">
        <v>37</v>
      </c>
      <c r="G10" s="10" t="s">
        <v>59</v>
      </c>
      <c r="H10" t="s">
        <v>100</v>
      </c>
      <c r="I10" t="s">
        <v>112</v>
      </c>
      <c r="J10" t="s">
        <v>137</v>
      </c>
      <c r="K10" t="s">
        <v>154</v>
      </c>
      <c r="L10" s="10" t="s">
        <v>172</v>
      </c>
      <c r="M10" s="10" t="s">
        <v>188</v>
      </c>
      <c r="N10" t="s">
        <v>201</v>
      </c>
      <c r="O10" s="10" t="s">
        <v>219</v>
      </c>
      <c r="P10" t="s">
        <v>249</v>
      </c>
      <c r="T10" s="13" t="s">
        <v>290</v>
      </c>
      <c r="U10">
        <v>2028</v>
      </c>
      <c r="W10" s="25" t="s">
        <v>425</v>
      </c>
    </row>
    <row r="11" spans="1:23">
      <c r="A11" s="10" t="s">
        <v>306</v>
      </c>
      <c r="B11" s="10" t="s">
        <v>335</v>
      </c>
      <c r="C11" s="10" t="s">
        <v>357</v>
      </c>
      <c r="D11" s="10" t="s">
        <v>381</v>
      </c>
      <c r="E11" t="s">
        <v>13</v>
      </c>
      <c r="F11" t="s">
        <v>38</v>
      </c>
      <c r="G11" t="s">
        <v>60</v>
      </c>
      <c r="H11" s="10" t="s">
        <v>101</v>
      </c>
      <c r="I11" t="s">
        <v>113</v>
      </c>
      <c r="J11" t="s">
        <v>138</v>
      </c>
      <c r="K11" t="s">
        <v>64</v>
      </c>
      <c r="L11" t="s">
        <v>173</v>
      </c>
      <c r="M11" t="s">
        <v>189</v>
      </c>
      <c r="N11" t="s">
        <v>202</v>
      </c>
      <c r="O11" t="s">
        <v>220</v>
      </c>
      <c r="P11" t="s">
        <v>250</v>
      </c>
      <c r="T11" s="13" t="s">
        <v>291</v>
      </c>
      <c r="U11">
        <v>2029</v>
      </c>
      <c r="W11" s="26" t="s">
        <v>426</v>
      </c>
    </row>
    <row r="12" spans="1:23">
      <c r="A12" s="10" t="s">
        <v>307</v>
      </c>
      <c r="B12" s="10" t="s">
        <v>336</v>
      </c>
      <c r="C12" s="10" t="s">
        <v>358</v>
      </c>
      <c r="D12" s="10" t="s">
        <v>382</v>
      </c>
      <c r="E12" t="s">
        <v>14</v>
      </c>
      <c r="F12" s="10" t="s">
        <v>39</v>
      </c>
      <c r="G12" t="s">
        <v>61</v>
      </c>
      <c r="H12" t="s">
        <v>102</v>
      </c>
      <c r="I12" s="10" t="s">
        <v>114</v>
      </c>
      <c r="J12" t="s">
        <v>139</v>
      </c>
      <c r="K12" t="s">
        <v>155</v>
      </c>
      <c r="L12" t="s">
        <v>174</v>
      </c>
      <c r="M12" t="s">
        <v>190</v>
      </c>
      <c r="N12" t="s">
        <v>203</v>
      </c>
      <c r="O12" t="s">
        <v>221</v>
      </c>
      <c r="P12" t="s">
        <v>251</v>
      </c>
      <c r="T12" s="13" t="s">
        <v>292</v>
      </c>
      <c r="U12">
        <v>2030</v>
      </c>
      <c r="W12" s="26" t="s">
        <v>427</v>
      </c>
    </row>
    <row r="13" spans="1:23">
      <c r="A13" s="10" t="s">
        <v>308</v>
      </c>
      <c r="B13" s="10" t="s">
        <v>337</v>
      </c>
      <c r="C13" s="10" t="s">
        <v>359</v>
      </c>
      <c r="D13" s="10" t="s">
        <v>383</v>
      </c>
      <c r="E13" t="s">
        <v>15</v>
      </c>
      <c r="F13" t="s">
        <v>40</v>
      </c>
      <c r="G13" t="s">
        <v>62</v>
      </c>
      <c r="H13" t="s">
        <v>103</v>
      </c>
      <c r="I13" t="s">
        <v>115</v>
      </c>
      <c r="J13" t="s">
        <v>140</v>
      </c>
      <c r="K13" t="s">
        <v>156</v>
      </c>
      <c r="L13" t="s">
        <v>175</v>
      </c>
      <c r="M13" t="s">
        <v>191</v>
      </c>
      <c r="N13" t="s">
        <v>204</v>
      </c>
      <c r="O13" t="s">
        <v>222</v>
      </c>
      <c r="P13" t="s">
        <v>252</v>
      </c>
      <c r="U13">
        <v>2031</v>
      </c>
    </row>
    <row r="14" spans="1:23">
      <c r="A14" s="10" t="s">
        <v>309</v>
      </c>
      <c r="B14" s="10" t="s">
        <v>338</v>
      </c>
      <c r="C14" s="10" t="s">
        <v>360</v>
      </c>
      <c r="D14" s="10" t="s">
        <v>384</v>
      </c>
      <c r="E14" t="s">
        <v>16</v>
      </c>
      <c r="F14" t="s">
        <v>41</v>
      </c>
      <c r="G14" t="s">
        <v>63</v>
      </c>
      <c r="I14" t="s">
        <v>116</v>
      </c>
      <c r="J14" t="s">
        <v>141</v>
      </c>
      <c r="K14" s="10" t="s">
        <v>157</v>
      </c>
      <c r="L14" t="s">
        <v>176</v>
      </c>
      <c r="M14" s="10" t="s">
        <v>192</v>
      </c>
      <c r="N14" t="s">
        <v>205</v>
      </c>
      <c r="O14" t="s">
        <v>223</v>
      </c>
      <c r="P14" t="s">
        <v>253</v>
      </c>
      <c r="U14">
        <v>2032</v>
      </c>
    </row>
    <row r="15" spans="1:23">
      <c r="A15" s="10" t="s">
        <v>310</v>
      </c>
      <c r="B15" s="10" t="s">
        <v>339</v>
      </c>
      <c r="C15" s="10" t="s">
        <v>361</v>
      </c>
      <c r="D15" s="10" t="s">
        <v>385</v>
      </c>
      <c r="E15" t="s">
        <v>17</v>
      </c>
      <c r="F15" t="s">
        <v>42</v>
      </c>
      <c r="G15" t="s">
        <v>64</v>
      </c>
      <c r="I15" t="s">
        <v>117</v>
      </c>
      <c r="J15" t="s">
        <v>142</v>
      </c>
      <c r="K15" t="s">
        <v>158</v>
      </c>
      <c r="L15" s="10" t="s">
        <v>386</v>
      </c>
      <c r="M15" s="10" t="s">
        <v>406</v>
      </c>
      <c r="N15" t="s">
        <v>206</v>
      </c>
      <c r="O15" t="s">
        <v>224</v>
      </c>
      <c r="P15" s="10" t="s">
        <v>254</v>
      </c>
      <c r="U15">
        <v>2033</v>
      </c>
    </row>
    <row r="16" spans="1:23">
      <c r="A16" s="10" t="s">
        <v>311</v>
      </c>
      <c r="B16" s="10" t="s">
        <v>340</v>
      </c>
      <c r="C16" s="10" t="s">
        <v>362</v>
      </c>
      <c r="E16" t="s">
        <v>18</v>
      </c>
      <c r="F16" t="s">
        <v>43</v>
      </c>
      <c r="G16" t="s">
        <v>65</v>
      </c>
      <c r="I16" t="s">
        <v>118</v>
      </c>
      <c r="J16" t="s">
        <v>143</v>
      </c>
      <c r="K16" t="s">
        <v>159</v>
      </c>
      <c r="L16" t="s">
        <v>177</v>
      </c>
      <c r="N16" t="s">
        <v>207</v>
      </c>
      <c r="O16" t="s">
        <v>225</v>
      </c>
      <c r="P16" t="s">
        <v>255</v>
      </c>
      <c r="U16">
        <v>2034</v>
      </c>
    </row>
    <row r="17" spans="1:21">
      <c r="A17" s="10" t="s">
        <v>312</v>
      </c>
      <c r="B17" s="10" t="s">
        <v>341</v>
      </c>
      <c r="C17" s="10" t="s">
        <v>363</v>
      </c>
      <c r="E17" t="s">
        <v>19</v>
      </c>
      <c r="F17" t="s">
        <v>44</v>
      </c>
      <c r="G17" t="s">
        <v>66</v>
      </c>
      <c r="I17" t="s">
        <v>119</v>
      </c>
      <c r="J17" t="s">
        <v>144</v>
      </c>
      <c r="K17" t="s">
        <v>160</v>
      </c>
      <c r="L17" s="10" t="s">
        <v>178</v>
      </c>
      <c r="N17" s="10" t="s">
        <v>208</v>
      </c>
      <c r="O17" t="s">
        <v>226</v>
      </c>
      <c r="P17" t="s">
        <v>256</v>
      </c>
      <c r="U17">
        <v>2035</v>
      </c>
    </row>
    <row r="18" spans="1:21">
      <c r="A18" s="10" t="s">
        <v>313</v>
      </c>
      <c r="B18" s="10" t="s">
        <v>342</v>
      </c>
      <c r="C18" s="10" t="s">
        <v>364</v>
      </c>
      <c r="E18" s="10" t="s">
        <v>20</v>
      </c>
      <c r="F18" t="s">
        <v>45</v>
      </c>
      <c r="G18" t="s">
        <v>67</v>
      </c>
      <c r="I18" t="s">
        <v>120</v>
      </c>
      <c r="J18" s="10" t="s">
        <v>145</v>
      </c>
      <c r="K18" t="s">
        <v>161</v>
      </c>
      <c r="L18" s="10" t="s">
        <v>179</v>
      </c>
      <c r="N18" s="10" t="s">
        <v>209</v>
      </c>
      <c r="O18" t="s">
        <v>66</v>
      </c>
      <c r="P18" s="10" t="s">
        <v>257</v>
      </c>
      <c r="U18">
        <v>2036</v>
      </c>
    </row>
    <row r="19" spans="1:21">
      <c r="A19" s="10" t="s">
        <v>314</v>
      </c>
      <c r="B19" s="10" t="s">
        <v>343</v>
      </c>
      <c r="C19" s="10" t="s">
        <v>365</v>
      </c>
      <c r="E19" t="s">
        <v>21</v>
      </c>
      <c r="F19" t="s">
        <v>46</v>
      </c>
      <c r="G19" t="s">
        <v>68</v>
      </c>
      <c r="I19" t="s">
        <v>121</v>
      </c>
      <c r="K19" t="s">
        <v>162</v>
      </c>
      <c r="L19" s="10" t="s">
        <v>390</v>
      </c>
      <c r="N19" t="s">
        <v>210</v>
      </c>
      <c r="O19" t="s">
        <v>227</v>
      </c>
      <c r="P19" s="10" t="s">
        <v>258</v>
      </c>
    </row>
    <row r="20" spans="1:21">
      <c r="A20" s="10" t="s">
        <v>315</v>
      </c>
      <c r="B20" s="10" t="s">
        <v>344</v>
      </c>
      <c r="C20" s="10" t="s">
        <v>366</v>
      </c>
      <c r="E20" t="s">
        <v>22</v>
      </c>
      <c r="F20" t="s">
        <v>47</v>
      </c>
      <c r="G20" s="10" t="s">
        <v>69</v>
      </c>
      <c r="I20" s="10" t="s">
        <v>122</v>
      </c>
      <c r="K20" s="10" t="s">
        <v>163</v>
      </c>
      <c r="L20" s="10" t="s">
        <v>389</v>
      </c>
      <c r="N20" s="10" t="s">
        <v>211</v>
      </c>
      <c r="O20" t="s">
        <v>228</v>
      </c>
      <c r="P20" s="10" t="s">
        <v>415</v>
      </c>
    </row>
    <row r="21" spans="1:21">
      <c r="A21" s="10" t="s">
        <v>316</v>
      </c>
      <c r="B21" s="10" t="s">
        <v>345</v>
      </c>
      <c r="C21" s="10" t="s">
        <v>367</v>
      </c>
      <c r="E21" t="s">
        <v>23</v>
      </c>
      <c r="F21" t="s">
        <v>48</v>
      </c>
      <c r="G21" t="s">
        <v>70</v>
      </c>
      <c r="I21" t="s">
        <v>123</v>
      </c>
      <c r="K21" s="10" t="s">
        <v>164</v>
      </c>
      <c r="L21" s="10" t="s">
        <v>388</v>
      </c>
      <c r="N21" s="10" t="s">
        <v>407</v>
      </c>
      <c r="O21" s="10" t="s">
        <v>229</v>
      </c>
      <c r="P21" s="10" t="s">
        <v>414</v>
      </c>
    </row>
    <row r="22" spans="1:21">
      <c r="A22" s="10" t="s">
        <v>317</v>
      </c>
      <c r="B22" s="10" t="s">
        <v>346</v>
      </c>
      <c r="C22" s="10" t="s">
        <v>368</v>
      </c>
      <c r="E22" t="s">
        <v>24</v>
      </c>
      <c r="F22" t="s">
        <v>49</v>
      </c>
      <c r="G22" t="s">
        <v>71</v>
      </c>
      <c r="I22" t="s">
        <v>124</v>
      </c>
      <c r="L22" s="10" t="s">
        <v>387</v>
      </c>
      <c r="N22" s="10" t="s">
        <v>408</v>
      </c>
      <c r="O22" t="s">
        <v>230</v>
      </c>
      <c r="P22" s="10" t="s">
        <v>413</v>
      </c>
    </row>
    <row r="23" spans="1:21">
      <c r="A23" s="10" t="s">
        <v>318</v>
      </c>
      <c r="B23" s="10" t="s">
        <v>347</v>
      </c>
      <c r="C23" s="10" t="s">
        <v>369</v>
      </c>
      <c r="E23" t="s">
        <v>26</v>
      </c>
      <c r="F23" t="s">
        <v>50</v>
      </c>
      <c r="G23" t="s">
        <v>72</v>
      </c>
      <c r="I23" t="s">
        <v>125</v>
      </c>
      <c r="L23" s="10" t="s">
        <v>391</v>
      </c>
      <c r="O23" t="s">
        <v>231</v>
      </c>
    </row>
    <row r="24" spans="1:21">
      <c r="A24" s="10" t="s">
        <v>319</v>
      </c>
      <c r="B24" s="10" t="s">
        <v>348</v>
      </c>
      <c r="C24" s="10" t="s">
        <v>370</v>
      </c>
      <c r="E24" s="10" t="s">
        <v>27</v>
      </c>
      <c r="G24" t="s">
        <v>73</v>
      </c>
      <c r="I24" t="s">
        <v>126</v>
      </c>
      <c r="L24" s="10" t="s">
        <v>392</v>
      </c>
      <c r="O24" t="s">
        <v>232</v>
      </c>
    </row>
    <row r="25" spans="1:21">
      <c r="A25" s="10" t="s">
        <v>320</v>
      </c>
      <c r="C25" s="10" t="s">
        <v>371</v>
      </c>
      <c r="E25" t="s">
        <v>28</v>
      </c>
      <c r="G25" t="s">
        <v>74</v>
      </c>
      <c r="I25" t="s">
        <v>127</v>
      </c>
      <c r="L25" s="10" t="s">
        <v>393</v>
      </c>
      <c r="O25" t="s">
        <v>233</v>
      </c>
    </row>
    <row r="26" spans="1:21">
      <c r="A26" s="10" t="s">
        <v>321</v>
      </c>
      <c r="G26" t="s">
        <v>75</v>
      </c>
      <c r="I26" s="10" t="s">
        <v>128</v>
      </c>
      <c r="L26" s="10" t="s">
        <v>394</v>
      </c>
      <c r="O26" t="s">
        <v>234</v>
      </c>
    </row>
    <row r="27" spans="1:21">
      <c r="A27" s="10" t="s">
        <v>322</v>
      </c>
      <c r="G27" t="s">
        <v>76</v>
      </c>
      <c r="L27" s="10" t="s">
        <v>395</v>
      </c>
      <c r="O27" t="s">
        <v>235</v>
      </c>
    </row>
    <row r="28" spans="1:21">
      <c r="A28" s="10" t="s">
        <v>323</v>
      </c>
      <c r="G28" t="s">
        <v>77</v>
      </c>
      <c r="L28" s="10" t="s">
        <v>396</v>
      </c>
      <c r="O28" s="10" t="s">
        <v>236</v>
      </c>
    </row>
    <row r="29" spans="1:21">
      <c r="A29" s="10" t="s">
        <v>324</v>
      </c>
      <c r="G29" t="s">
        <v>78</v>
      </c>
      <c r="L29" s="10" t="s">
        <v>397</v>
      </c>
      <c r="O29" t="s">
        <v>237</v>
      </c>
    </row>
    <row r="30" spans="1:21">
      <c r="A30" s="10" t="s">
        <v>325</v>
      </c>
      <c r="G30" t="s">
        <v>79</v>
      </c>
      <c r="L30" s="10" t="s">
        <v>398</v>
      </c>
      <c r="O30" t="s">
        <v>238</v>
      </c>
    </row>
    <row r="31" spans="1:21">
      <c r="A31" s="10" t="s">
        <v>326</v>
      </c>
      <c r="G31" t="s">
        <v>80</v>
      </c>
      <c r="L31" s="10" t="s">
        <v>399</v>
      </c>
      <c r="O31" s="10" t="s">
        <v>239</v>
      </c>
    </row>
    <row r="32" spans="1:21">
      <c r="G32" s="10" t="s">
        <v>92</v>
      </c>
      <c r="L32" s="10" t="s">
        <v>400</v>
      </c>
      <c r="O32" s="10" t="s">
        <v>240</v>
      </c>
    </row>
    <row r="33" spans="7:15">
      <c r="G33" t="s">
        <v>81</v>
      </c>
      <c r="L33" s="10" t="s">
        <v>401</v>
      </c>
      <c r="O33" s="10" t="s">
        <v>412</v>
      </c>
    </row>
    <row r="34" spans="7:15">
      <c r="G34" t="s">
        <v>82</v>
      </c>
      <c r="L34" s="10" t="s">
        <v>402</v>
      </c>
      <c r="O34" s="10" t="s">
        <v>411</v>
      </c>
    </row>
    <row r="35" spans="7:15">
      <c r="G35" t="s">
        <v>83</v>
      </c>
      <c r="L35" s="10" t="s">
        <v>403</v>
      </c>
      <c r="O35" s="10" t="s">
        <v>409</v>
      </c>
    </row>
    <row r="36" spans="7:15">
      <c r="G36" t="s">
        <v>84</v>
      </c>
      <c r="L36" s="10" t="s">
        <v>404</v>
      </c>
      <c r="O36" s="10" t="s">
        <v>410</v>
      </c>
    </row>
    <row r="37" spans="7:15">
      <c r="G37" t="s">
        <v>85</v>
      </c>
      <c r="L37" s="10" t="s">
        <v>405</v>
      </c>
    </row>
    <row r="38" spans="7:15">
      <c r="G38" t="s">
        <v>86</v>
      </c>
    </row>
    <row r="39" spans="7:15">
      <c r="G39" t="s">
        <v>87</v>
      </c>
    </row>
    <row r="40" spans="7:15">
      <c r="G40" t="s">
        <v>88</v>
      </c>
    </row>
    <row r="41" spans="7:15">
      <c r="G41" t="s">
        <v>89</v>
      </c>
    </row>
    <row r="42" spans="7:15">
      <c r="G42" t="s">
        <v>90</v>
      </c>
    </row>
    <row r="43" spans="7:15">
      <c r="G4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Zakresy nazwane</vt:lpstr>
      </vt:variant>
      <vt:variant>
        <vt:i4>17</vt:i4>
      </vt:variant>
    </vt:vector>
  </HeadingPairs>
  <TitlesOfParts>
    <vt:vector size="20" baseType="lpstr">
      <vt:lpstr>Dane podstawowe</vt:lpstr>
      <vt:lpstr>dane</vt:lpstr>
      <vt:lpstr>listy</vt:lpstr>
      <vt:lpstr>DOLNOŚLĄSKIE</vt:lpstr>
      <vt:lpstr>KUJAWSKO_POMORSKIE</vt:lpstr>
      <vt:lpstr>LUBELSKIE</vt:lpstr>
      <vt:lpstr>LUBUSKIE</vt:lpstr>
      <vt:lpstr>ŁÓDZKIE</vt:lpstr>
      <vt:lpstr>MAŁOPOLSKIE</vt:lpstr>
      <vt:lpstr>MAZOWIECKIE</vt:lpstr>
      <vt:lpstr>dane!Obszar_wydruku</vt:lpstr>
      <vt:lpstr>OPOLSKIE</vt:lpstr>
      <vt:lpstr>PODKARPACKIE</vt:lpstr>
      <vt:lpstr>PODLASKIE</vt:lpstr>
      <vt:lpstr>POMORSKIE</vt:lpstr>
      <vt:lpstr>ŚLĄSKIE</vt:lpstr>
      <vt:lpstr>ŚWIĘTOKRZYSKIE</vt:lpstr>
      <vt:lpstr>WARMIŃSKO_MAZURSKIE</vt:lpstr>
      <vt:lpstr>WIELKOPOLSKIE</vt:lpstr>
      <vt:lpstr>ZACHODNIOPOMORSKIE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Justyna_Majewska</dc:creator>
  <cp:lastModifiedBy>HSamul</cp:lastModifiedBy>
  <cp:lastPrinted>2020-08-05T11:40:15Z</cp:lastPrinted>
  <dcterms:created xsi:type="dcterms:W3CDTF">2009-02-04T13:09:17Z</dcterms:created>
  <dcterms:modified xsi:type="dcterms:W3CDTF">2022-04-05T09:46:19Z</dcterms:modified>
</cp:coreProperties>
</file>
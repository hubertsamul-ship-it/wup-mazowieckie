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8E745636-7796-4EC2-9D9A-3C824C0C828E}" xr6:coauthVersionLast="47" xr6:coauthVersionMax="47" xr10:uidLastSave="{00000000-0000-0000-0000-000000000000}"/>
  <bookViews>
    <workbookView xWindow="28680" yWindow="-186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dane!$A$1:$O$25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5" l="1"/>
  <c r="K30" i="5"/>
  <c r="L30" i="5"/>
  <c r="G30" i="5"/>
  <c r="E2" i="5" l="1"/>
  <c r="D2" i="5"/>
  <c r="C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Hubert Samul</author>
  </authors>
  <commentList>
    <comment ref="K18" authorId="0" shapeId="0" xr:uid="{1EBF2494-2C65-4BE8-A902-3EC78974A2F9}">
      <text>
        <r>
          <rPr>
            <b/>
            <sz val="9"/>
            <color indexed="81"/>
            <rFont val="Tahoma"/>
            <family val="2"/>
            <charset val="238"/>
          </rPr>
          <t>Hubert Samul:</t>
        </r>
        <r>
          <rPr>
            <sz val="9"/>
            <color indexed="81"/>
            <rFont val="Tahoma"/>
            <family val="2"/>
            <charset val="238"/>
          </rPr>
          <t xml:space="preserve">
Magdalena Fic:
Dane dotyczące liczby zwolnionych pracowników w Nowa Era Sp. z o.o. w okresie od października 2023  do kwietnia 2024 r.</t>
        </r>
      </text>
    </comment>
    <comment ref="K19" authorId="0" shapeId="0" xr:uid="{6FE68EB7-DC06-429E-9E5F-6BA4645A79C3}">
      <text>
        <r>
          <rPr>
            <b/>
            <sz val="9"/>
            <color indexed="81"/>
            <rFont val="Tahoma"/>
            <family val="2"/>
            <charset val="238"/>
          </rPr>
          <t>Hubert Samul:</t>
        </r>
        <r>
          <rPr>
            <sz val="9"/>
            <color indexed="81"/>
            <rFont val="Tahoma"/>
            <family val="2"/>
            <charset val="238"/>
          </rPr>
          <t xml:space="preserve">
Magdalena Fic:
Dane dotyczące liczby zwolnionych pracowników w Frito Lay Poland  Sp. z o.o. z całego okresu zwolnień. </t>
        </r>
      </text>
    </comment>
  </commentList>
</comments>
</file>

<file path=xl/sharedStrings.xml><?xml version="1.0" encoding="utf-8"?>
<sst xmlns="http://schemas.openxmlformats.org/spreadsheetml/2006/main" count="569" uniqueCount="511">
  <si>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</si>
  <si>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</si>
  <si>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</si>
  <si>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</si>
  <si>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</si>
  <si>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</si>
  <si>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</si>
  <si>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</si>
  <si>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</si>
  <si>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</si>
  <si>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</si>
  <si>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</si>
  <si>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</si>
  <si>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</si>
  <si>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</si>
  <si>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</si>
  <si>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</si>
  <si>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</si>
  <si>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</si>
  <si>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</si>
  <si>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</si>
  <si>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</si>
  <si>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</si>
  <si>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</si>
  <si>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</si>
  <si>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</si>
  <si>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</si>
  <si>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</si>
  <si>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</si>
  <si>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</si>
  <si>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</si>
  <si>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</si>
  <si>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</si>
  <si>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</si>
  <si>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</si>
  <si>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</si>
  <si>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</si>
  <si>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</si>
  <si>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</si>
  <si>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</si>
  <si>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</si>
  <si>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</si>
  <si>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</si>
  <si>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</si>
  <si>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</si>
  <si>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</si>
  <si>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</si>
  <si>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</si>
  <si>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</si>
  <si>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</si>
  <si>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</si>
  <si>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</si>
  <si>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</si>
  <si>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</si>
  <si>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</si>
  <si>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</si>
  <si>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</si>
  <si>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</si>
  <si>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</si>
  <si>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</si>
  <si>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</si>
  <si>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</si>
  <si>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</si>
  <si>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</si>
  <si>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</si>
  <si>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</si>
  <si>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</si>
  <si>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</si>
  <si>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</si>
  <si>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</si>
  <si>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</si>
  <si>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</si>
  <si>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</si>
  <si>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</si>
  <si>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</si>
  <si>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</si>
  <si>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</si>
  <si>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</si>
  <si>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</si>
  <si>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</si>
  <si>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</si>
  <si>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</si>
  <si>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</si>
  <si>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</si>
  <si>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</si>
  <si>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</si>
  <si>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</si>
  <si>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</si>
  <si>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</si>
  <si>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</si>
  <si>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</si>
  <si>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</si>
  <si>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</si>
  <si>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</si>
  <si>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</si>
  <si>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</si>
  <si>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</si>
  <si>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</si>
  <si>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</si>
  <si>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</si>
  <si>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</si>
  <si>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</si>
  <si>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</si>
  <si>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</si>
  <si>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</si>
  <si>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</si>
  <si>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</si>
  <si>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</si>
  <si>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</si>
  <si>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</si>
  <si>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</si>
  <si>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</si>
  <si>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</si>
  <si>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</si>
  <si>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</si>
  <si>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</si>
  <si>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</si>
  <si>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</si>
  <si>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</si>
  <si>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</si>
  <si>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</si>
  <si>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</si>
  <si>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</si>
  <si>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</si>
  <si>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</si>
  <si>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</si>
  <si>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</si>
  <si>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</si>
  <si>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</si>
  <si>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</si>
  <si>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</si>
  <si>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</si>
  <si>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</si>
  <si>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</si>
  <si>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</si>
  <si>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</si>
  <si>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</si>
  <si>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</si>
  <si>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</si>
  <si>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</si>
  <si>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</si>
  <si>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</si>
  <si>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</si>
  <si>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</si>
  <si>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</si>
  <si>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</si>
  <si>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</si>
  <si>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</si>
  <si>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</si>
  <si>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</si>
  <si>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</si>
  <si>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</si>
  <si>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</si>
  <si>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</si>
  <si>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</si>
  <si>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</si>
  <si>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</si>
  <si>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</si>
  <si>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</si>
  <si>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</si>
  <si>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</si>
  <si>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</si>
  <si>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</si>
  <si>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</si>
  <si>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</si>
  <si>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</si>
  <si>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</si>
  <si>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</si>
  <si>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</si>
  <si>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</si>
  <si>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</si>
  <si>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</si>
  <si>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</si>
  <si>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</si>
  <si>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</si>
  <si>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</si>
  <si>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</si>
  <si>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</si>
  <si>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</si>
  <si>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</si>
  <si>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</si>
  <si>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</si>
  <si>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</si>
  <si>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</si>
  <si>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</si>
  <si>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</si>
  <si>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</si>
  <si>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</si>
  <si>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</si>
  <si>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</si>
  <si>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</si>
  <si>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</si>
  <si>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</si>
  <si>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</si>
  <si>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</si>
  <si>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</si>
  <si>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</si>
  <si>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</si>
  <si>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</si>
  <si>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</si>
  <si>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</si>
  <si>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</si>
  <si>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</si>
  <si>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</si>
  <si>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</si>
  <si>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</si>
  <si>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</si>
  <si>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</si>
  <si>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</si>
  <si>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</si>
  <si>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</si>
  <si>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</si>
  <si>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</si>
  <si>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</si>
  <si>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</si>
  <si>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</si>
  <si>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</si>
  <si>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</si>
  <si>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</si>
  <si>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</si>
  <si>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</si>
  <si>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</si>
  <si>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</si>
  <si>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</si>
  <si>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</si>
  <si>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</si>
  <si>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</si>
  <si>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</si>
  <si>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</si>
  <si>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</si>
  <si>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</si>
  <si>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</si>
  <si>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</si>
  <si>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</si>
  <si>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</si>
  <si>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</si>
  <si>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</si>
  <si>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</si>
  <si>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</si>
  <si>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</si>
  <si>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</si>
  <si>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</si>
  <si>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</si>
  <si>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</si>
  <si>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</si>
  <si>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</si>
  <si>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</si>
  <si>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</si>
  <si>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</si>
  <si>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</si>
  <si>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</si>
  <si>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</si>
  <si>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</si>
  <si>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</si>
  <si>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</si>
  <si>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</si>
  <si>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</si>
  <si>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</si>
  <si>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</si>
  <si>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</si>
  <si>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</si>
  <si>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</si>
  <si>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</si>
  <si>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</si>
  <si>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</si>
  <si>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</si>
  <si>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</si>
  <si>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</si>
  <si>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</si>
  <si>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</si>
  <si>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</si>
  <si>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</si>
  <si>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</si>
  <si>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</si>
  <si>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</si>
  <si>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</si>
  <si>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</si>
  <si>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</si>
  <si>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</si>
  <si>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</si>
  <si>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</si>
  <si>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</si>
  <si>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</si>
  <si>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</si>
  <si>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</si>
  <si>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</si>
  <si>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</si>
  <si>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</si>
  <si>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</si>
  <si>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</si>
  <si>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</si>
  <si>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</si>
  <si>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</si>
  <si>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</si>
  <si>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</si>
  <si>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</si>
  <si>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</si>
  <si>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</si>
  <si>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</si>
  <si>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</si>
  <si>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</si>
  <si>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</si>
  <si>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</si>
  <si>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</si>
  <si>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</si>
  <si>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</si>
  <si>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</si>
  <si>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</si>
  <si>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</si>
  <si>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</si>
  <si>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</si>
  <si>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</si>
  <si>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</si>
  <si>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</si>
  <si>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</si>
  <si>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</si>
  <si>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</si>
  <si>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</si>
  <si>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</si>
  <si>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</si>
  <si>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</si>
  <si>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</si>
  <si>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</si>
  <si>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</si>
  <si>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</si>
  <si>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</si>
  <si>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</si>
  <si>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</si>
  <si>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</si>
  <si>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</si>
  <si>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</si>
  <si>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</si>
  <si>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</si>
  <si>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</si>
  <si>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</si>
  <si>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</si>
  <si>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</si>
  <si>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</si>
  <si>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</si>
  <si>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</si>
  <si>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</si>
  <si>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</si>
  <si>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</si>
  <si>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</si>
  <si>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</si>
  <si>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</si>
  <si>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</si>
  <si>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</si>
  <si>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</si>
  <si>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</si>
  <si>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</si>
  <si>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</si>
  <si>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</si>
  <si>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</si>
  <si>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</si>
  <si>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</si>
  <si>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</si>
  <si>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</si>
  <si>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</si>
  <si>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</si>
  <si>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</si>
  <si>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</si>
  <si>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</si>
  <si>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</si>
  <si>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</si>
  <si>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</si>
  <si>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</si>
  <si>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</si>
  <si>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</si>
  <si>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</si>
  <si>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</si>
  <si>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</si>
  <si>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</si>
  <si>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</si>
  <si>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</si>
  <si>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</si>
  <si>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</si>
  <si>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</si>
  <si>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</si>
  <si>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</si>
  <si>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</si>
  <si>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</si>
  <si>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</si>
  <si>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</si>
  <si>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</si>
  <si>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</si>
  <si>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</si>
  <si>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</si>
  <si>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</si>
  <si>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</si>
  <si>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</si>
  <si>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</si>
  <si>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</si>
  <si>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</si>
  <si>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</si>
  <si>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</si>
  <si>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</si>
  <si>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</si>
  <si>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</si>
  <si>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</si>
  <si>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</si>
  <si>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</si>
  <si>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</si>
  <si>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</si>
  <si>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</si>
  <si>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</si>
  <si>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</si>
  <si>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</si>
  <si>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</si>
  <si>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</si>
  <si>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</si>
  <si>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</si>
  <si>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</si>
  <si>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</si>
  <si>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</si>
  <si>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</si>
  <si>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</si>
  <si>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</si>
  <si>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</si>
  <si>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</si>
  <si>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</si>
  <si>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</si>
  <si>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</si>
  <si>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</si>
  <si>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</si>
  <si>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</si>
  <si>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</si>
  <si>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</si>
  <si>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</si>
  <si>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</si>
  <si>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</si>
  <si>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</si>
  <si>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</si>
  <si>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</si>
  <si>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</si>
  <si>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</si>
  <si>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</si>
  <si>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</si>
  <si>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</si>
  <si>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</si>
  <si>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</si>
  <si>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</si>
  <si>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</si>
  <si>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</si>
  <si>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</si>
  <si>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</si>
  <si>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</si>
  <si>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</si>
  <si>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</si>
  <si>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nie</t>
  </si>
  <si>
    <t>4771Z</t>
  </si>
  <si>
    <t>140718341</t>
  </si>
  <si>
    <t>6120Z</t>
  </si>
  <si>
    <t>tak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</si>
  <si>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</si>
  <si>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</si>
  <si>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</si>
  <si>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t>Nokia Solutions and Networks                                                                                               Sp. z o.o.                                                                                                                               ul. Rodziny Hiszpańskich 8                                                                                               02-685 Warszawa</t>
  </si>
  <si>
    <t>WOŁOMIŃSKI</t>
  </si>
  <si>
    <t>1413Z</t>
  </si>
  <si>
    <t>VEGA MARZENA CZERNEK</t>
  </si>
  <si>
    <t>Zwalniani pracownicy wyrazili wolę zatrudnienia u innego pracodawcy oraz
zatrudnienie przy innej diałalności u danego pracodawcy</t>
  </si>
  <si>
    <t>Levi Strauss Poland Sp. z o.o.</t>
  </si>
  <si>
    <t xml:space="preserve">nie </t>
  </si>
  <si>
    <t>07-12.2024 r.</t>
  </si>
  <si>
    <t>6311Z</t>
  </si>
  <si>
    <t>AIR DISPATCH (CLC) Sp. z o,.o.                     ul.Bokserska 66                                                                02-690 Warszawa</t>
  </si>
  <si>
    <t>5223Z</t>
  </si>
  <si>
    <t>TERMISIL GLASS SP. Z O. O.</t>
  </si>
  <si>
    <t>2313Z</t>
  </si>
  <si>
    <t>26.06.2024 - 31.07.2024</t>
  </si>
  <si>
    <t xml:space="preserve">DURA-LINE Sp. z o.o., ul. Ernesta Kościńskiego  23, 96-502 Sochaczew </t>
  </si>
  <si>
    <t>PKP CARGO S.A. - Centrala
ul. Grójecka 17
02-021 Warszawa</t>
  </si>
  <si>
    <t>277586360</t>
  </si>
  <si>
    <t>4920Z</t>
  </si>
  <si>
    <t>07-09.2024 r.</t>
  </si>
  <si>
    <t>PKP CARGO S.A. - Centralny Zakład Spółki 
ul. Pyrzyce  17
01-252 Warszawa</t>
  </si>
  <si>
    <t xml:space="preserve">  27758636000663</t>
  </si>
  <si>
    <t>Instytut Finansów                             ul. Świętokrzyska 12                                     00-916 Warszawa</t>
  </si>
  <si>
    <t>8411Z</t>
  </si>
  <si>
    <t>07-08.2024 r.</t>
  </si>
  <si>
    <t>Centrum GovTech                                        Al. Jana Christiana Szucha 25                               00-918  Warszawa</t>
  </si>
  <si>
    <t>Carrefour Polska                                       ul. Targowa 72                                          03-734 Warszawa</t>
  </si>
  <si>
    <t>070569406</t>
  </si>
  <si>
    <t>4711Z</t>
  </si>
  <si>
    <t xml:space="preserve">Pracodawca będzie realizował program outplacmentowy poprzez firmę zewnętrzną </t>
  </si>
  <si>
    <t xml:space="preserve">BNP Paribas Bank Polska S.A.                            ul. M. Kasprzaka  10/16                                              01-211 Warszawa </t>
  </si>
  <si>
    <t xml:space="preserve">  010778878</t>
  </si>
  <si>
    <t xml:space="preserve">Nowa Era Sp. z o.o.
Al. Jerozolimskie 146D                   02-305 Warszawa 
</t>
  </si>
  <si>
    <t>Frito Lay Poland Sp. z o.o.                         Pl. Konesera 12                                       03-736 Warszawa</t>
  </si>
  <si>
    <t>012688286</t>
  </si>
  <si>
    <t>4639Z</t>
  </si>
  <si>
    <t xml:space="preserve">Ework Group Sp. z o.o.                                          ul. Marszałkowska 107 
00-110 Warszawa 
</t>
  </si>
  <si>
    <t>6202Z</t>
  </si>
  <si>
    <t>Provident Polska S.A.                                       ul. Inflancka 4A                                            03-189 Warszawa</t>
  </si>
  <si>
    <t>6492Z</t>
  </si>
  <si>
    <t>Akademia Sztuki Wojennej                                Al. gen. A. Chruściela "Montera"  103                                                               00-910  Warszawa</t>
  </si>
  <si>
    <t>8542Z</t>
  </si>
  <si>
    <t>Gryf Direct Sp. z o. o.                             ul.Kamińskiego 18/39                                           03-130 Warszawa</t>
  </si>
  <si>
    <t>1814Z</t>
  </si>
  <si>
    <t>Tema Retail Sp. z o.o.                                                                                                     Al. Jerozolimskie 148                                                                                                     02-326 Warszawa</t>
  </si>
  <si>
    <t xml:space="preserve">Wirtualna Polska Media Spółka Akcyjna                                                                       ul. Zwirki i Wgury 16                                             02-092  Warszawa </t>
  </si>
  <si>
    <t>142742958</t>
  </si>
  <si>
    <t>6312Z</t>
  </si>
  <si>
    <t>Otwocki</t>
  </si>
  <si>
    <t>Mazowieckie</t>
  </si>
  <si>
    <t>LINK Sp. z o.o.</t>
  </si>
  <si>
    <t>00805553200000</t>
  </si>
  <si>
    <t>Michał Pacuski</t>
  </si>
  <si>
    <t>m.pacuski@wup.mazowsze.pl</t>
  </si>
  <si>
    <t>48 22 571 73 15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</si>
</sst>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5]General"/>
    <numFmt numFmtId="165" formatCode="#,##0.00&quot; &quot;[$zł-415];[Red]&quot;-&quot;#,##0.00&quot; &quot;[$zł-415]"/>
    <numFmt numFmtId="166" formatCode="[$-415]yyyy\-mm\-dd"/>
  </numFmts>
  <fonts count="2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Arial"/>
      <family val="2"/>
      <charset val="238"/>
    </font>
    <font>
      <b/>
      <i/>
      <sz val="16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i/>
      <u/>
      <sz val="11"/>
      <color rgb="FF00000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3E3D40"/>
      <name val="Arial"/>
      <family val="2"/>
      <charset val="238"/>
    </font>
    <font>
      <sz val="11"/>
      <color rgb="FFFF0000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rgb="FFFF5050"/>
        <bgColor rgb="FFFF505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3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7" fillId="0" borderId="0"/>
    <xf numFmtId="0" fontId="17" fillId="5" borderId="0" applyNumberFormat="0" applyFont="0" applyBorder="0" applyAlignment="0" applyProtection="0"/>
    <xf numFmtId="0" fontId="17" fillId="5" borderId="0" applyNumberFormat="0" applyFont="0" applyBorder="0" applyProtection="0"/>
    <xf numFmtId="0" fontId="18" fillId="0" borderId="0" applyNumberFormat="0" applyBorder="0" applyProtection="0">
      <alignment horizontal="center"/>
    </xf>
    <xf numFmtId="0" fontId="18" fillId="0" borderId="0" applyNumberFormat="0" applyBorder="0" applyProtection="0">
      <alignment horizontal="center" textRotation="90"/>
    </xf>
    <xf numFmtId="164" fontId="19" fillId="0" borderId="0" applyBorder="0" applyProtection="0"/>
    <xf numFmtId="0" fontId="20" fillId="0" borderId="0" applyNumberFormat="0" applyBorder="0" applyProtection="0"/>
    <xf numFmtId="165" fontId="20" fillId="0" borderId="0" applyBorder="0" applyProtection="0"/>
    <xf numFmtId="43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164" fontId="15" fillId="0" borderId="0" applyBorder="0" applyProtection="0"/>
  </cellStyleXfs>
  <cellXfs count="94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12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2" fontId="2" fillId="0" borderId="2" xfId="2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6" fontId="11" fillId="0" borderId="15" xfId="4" applyNumberForma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23">
    <cellStyle name="cf1" xfId="11" xr:uid="{AA7A6DA0-0093-426D-A699-1195BFB3BF9B}"/>
    <cellStyle name="ConditionalStyle_1" xfId="12" xr:uid="{A3273840-DC2D-47EA-875E-4B2DE94B84D9}"/>
    <cellStyle name="Dziesiętny 2" xfId="6" xr:uid="{95F2F834-C8AF-4CFA-9632-7EC5FFBFCA5F}"/>
    <cellStyle name="Dziesiętny 3" xfId="7" xr:uid="{7D479643-D454-49EC-94B9-070247605B79}"/>
    <cellStyle name="Dziesiętny 4" xfId="18" xr:uid="{38B67BDC-1342-443F-8CF5-E69BBC6D277E}"/>
    <cellStyle name="Dziesiętny 5" xfId="20" xr:uid="{27497266-D830-410F-84E0-BF111E30C97A}"/>
    <cellStyle name="Excel Built-in Normal" xfId="4" xr:uid="{00000000-0005-0000-0000-000000000000}"/>
    <cellStyle name="Heading" xfId="13" xr:uid="{8FD49449-249C-40A2-B5BC-0348E9D196D2}"/>
    <cellStyle name="Heading1" xfId="14" xr:uid="{B1D612FF-9772-4248-8E9B-98C931D4B95C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Hiperłącze 5" xfId="19" xr:uid="{4CF43F06-1745-44DE-A45F-79BEF3DA3CB6}"/>
    <cellStyle name="Normalny" xfId="0" builtinId="0"/>
    <cellStyle name="Normalny 2" xfId="1" xr:uid="{00000000-0005-0000-0000-000004000000}"/>
    <cellStyle name="Normalny 2 2" xfId="15" xr:uid="{B98047FA-D127-4765-903D-EA40A4F2E65C}"/>
    <cellStyle name="Normalny 2 3" xfId="22" xr:uid="{97798B86-E25A-4F87-A97B-3C9218C919E6}"/>
    <cellStyle name="Normalny 3" xfId="9" xr:uid="{8A5988CB-BBF9-435C-BF6D-3EAB49A0F372}"/>
    <cellStyle name="Normalny 4" xfId="10" xr:uid="{1F413BD6-3A7A-46D6-ABF3-AE48C92DCFA6}"/>
    <cellStyle name="Normalny 5" xfId="21" xr:uid="{4D803DC8-74B2-44E7-A647-D6007EE348BB}"/>
    <cellStyle name="Result" xfId="16" xr:uid="{36AE28E8-3783-477E-ACBE-BAE00EAAA640}"/>
    <cellStyle name="Result2" xfId="17" xr:uid="{49A07EA4-EF9F-405F-A4E6-FEC2700AA314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.pacuski@wup.mazowsze.p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C2" sqref="C2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287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508</v>
      </c>
      <c r="E13" s="27" t="s">
        <v>509</v>
      </c>
      <c r="F13" s="28" t="s">
        <v>510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87" t="s">
        <v>438</v>
      </c>
      <c r="D22" s="19"/>
    </row>
    <row r="23" spans="3:6" ht="26.25">
      <c r="C23" s="87"/>
      <c r="D23" s="20" t="s">
        <v>280</v>
      </c>
    </row>
    <row r="24" spans="3:6" ht="28.5" customHeight="1">
      <c r="C24" s="87"/>
    </row>
    <row r="25" spans="3:6">
      <c r="C25" s="22"/>
    </row>
    <row r="26" spans="3:6">
      <c r="C26" s="87" t="s">
        <v>439</v>
      </c>
    </row>
    <row r="27" spans="3:6">
      <c r="C27" s="87"/>
    </row>
    <row r="28" spans="3:6" ht="23.25" customHeight="1">
      <c r="C28" s="87"/>
    </row>
    <row r="29" spans="3:6">
      <c r="C29" s="22"/>
    </row>
    <row r="30" spans="3:6" ht="12.75" customHeight="1">
      <c r="C30" s="87" t="s">
        <v>440</v>
      </c>
    </row>
    <row r="31" spans="3:6" ht="12.75" customHeight="1">
      <c r="C31" s="87"/>
    </row>
    <row r="32" spans="3:6" ht="21.75" customHeight="1">
      <c r="C32" s="87"/>
    </row>
    <row r="33" spans="3:3" ht="14.25" customHeight="1">
      <c r="C33" s="87"/>
    </row>
    <row r="34" spans="3:3">
      <c r="C34" s="87"/>
    </row>
    <row r="35" spans="3:3">
      <c r="C35" s="87"/>
    </row>
    <row r="37" spans="3:3" ht="12.75" customHeight="1">
      <c r="C37" s="87" t="s">
        <v>448</v>
      </c>
    </row>
    <row r="38" spans="3:3" ht="12.75" customHeight="1">
      <c r="C38" s="87"/>
    </row>
    <row r="39" spans="3:3" ht="19.5" customHeight="1">
      <c r="C39" s="87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102"/>
  <sheetViews>
    <sheetView tabSelected="1" zoomScale="80" zoomScaleNormal="80" zoomScaleSheetLayoutView="100" workbookViewId="0">
      <pane ySplit="4710" topLeftCell="A22" activePane="bottomLeft"/>
      <selection pane="bottomLeft" activeCell="J28" sqref="J28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0" customWidth="1"/>
    <col min="5" max="5" width="25.5703125" style="56" customWidth="1"/>
    <col min="6" max="6" width="13.140625" style="54" customWidth="1"/>
    <col min="7" max="7" width="14.42578125" style="30" customWidth="1"/>
    <col min="8" max="8" width="29.140625" style="30" customWidth="1"/>
    <col min="9" max="9" width="17.28515625" style="59" customWidth="1"/>
    <col min="10" max="10" width="14.42578125" style="30" customWidth="1"/>
    <col min="11" max="11" width="26.7109375" style="59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2:15" ht="20.100000000000001" customHeight="1">
      <c r="D1" s="31"/>
      <c r="F1" s="55"/>
    </row>
    <row r="2" spans="2:15" ht="20.100000000000001" customHeight="1">
      <c r="B2" s="40" t="s">
        <v>2</v>
      </c>
      <c r="C2" s="32" t="str">
        <f>'Dane podstawowe'!$D$6</f>
        <v>MAZOWIECKIE</v>
      </c>
      <c r="D2" s="33" t="str">
        <f>'Dane podstawowe'!D7</f>
        <v xml:space="preserve">Lipiec </v>
      </c>
      <c r="E2" s="57">
        <f>'Dane podstawowe'!D8</f>
        <v>2024</v>
      </c>
      <c r="F2" s="53"/>
      <c r="G2" s="31"/>
      <c r="H2" s="31"/>
      <c r="I2" s="60"/>
    </row>
    <row r="3" spans="2:15" ht="20.100000000000001" customHeight="1">
      <c r="E3" s="58"/>
    </row>
    <row r="4" spans="2:15" ht="20.100000000000001" customHeight="1">
      <c r="B4" s="88" t="s">
        <v>430</v>
      </c>
      <c r="C4" s="88"/>
      <c r="D4" s="89"/>
      <c r="E4" s="58"/>
    </row>
    <row r="5" spans="2:15" ht="20.100000000000001" customHeight="1">
      <c r="B5" s="34"/>
      <c r="C5" s="34"/>
      <c r="D5" s="35"/>
      <c r="E5" s="58"/>
    </row>
    <row r="6" spans="2:15" ht="90.75" customHeight="1">
      <c r="B6" s="90" t="s">
        <v>444</v>
      </c>
      <c r="C6" s="90"/>
      <c r="D6" s="90"/>
      <c r="E6" s="90"/>
      <c r="F6" s="90"/>
      <c r="G6" s="91" t="s">
        <v>446</v>
      </c>
      <c r="H6" s="92"/>
      <c r="I6" s="92"/>
      <c r="J6" s="93"/>
      <c r="K6" s="68" t="s">
        <v>447</v>
      </c>
      <c r="L6" s="90" t="s">
        <v>445</v>
      </c>
      <c r="M6" s="90"/>
      <c r="N6" s="90"/>
      <c r="O6" s="36"/>
    </row>
    <row r="7" spans="2:15" s="71" customFormat="1" ht="90.75" customHeight="1">
      <c r="B7" s="69" t="s">
        <v>1</v>
      </c>
      <c r="C7" s="69" t="s">
        <v>428</v>
      </c>
      <c r="D7" s="69" t="s">
        <v>0</v>
      </c>
      <c r="E7" s="70" t="s">
        <v>454</v>
      </c>
      <c r="F7" s="69" t="s">
        <v>455</v>
      </c>
      <c r="G7" s="69" t="s">
        <v>432</v>
      </c>
      <c r="H7" s="69" t="s">
        <v>435</v>
      </c>
      <c r="I7" s="69" t="s">
        <v>433</v>
      </c>
      <c r="J7" s="69" t="s">
        <v>434</v>
      </c>
      <c r="K7" s="69" t="s">
        <v>431</v>
      </c>
      <c r="L7" s="69" t="s">
        <v>442</v>
      </c>
      <c r="M7" s="69" t="s">
        <v>441</v>
      </c>
      <c r="N7" s="69" t="s">
        <v>443</v>
      </c>
      <c r="O7" s="69" t="s">
        <v>456</v>
      </c>
    </row>
    <row r="8" spans="2:15" ht="44.45" customHeight="1">
      <c r="B8" s="61" t="s">
        <v>51</v>
      </c>
      <c r="C8" s="61" t="s">
        <v>269</v>
      </c>
      <c r="D8" s="61" t="s">
        <v>460</v>
      </c>
      <c r="E8" s="62">
        <v>672945125</v>
      </c>
      <c r="F8" s="61">
        <v>1729</v>
      </c>
      <c r="G8" s="63">
        <v>0</v>
      </c>
      <c r="H8" s="63">
        <v>0</v>
      </c>
      <c r="I8" s="63">
        <v>0</v>
      </c>
      <c r="J8" s="63">
        <v>0</v>
      </c>
      <c r="K8" s="63">
        <v>2</v>
      </c>
      <c r="L8" s="61">
        <v>2</v>
      </c>
      <c r="M8" s="61" t="s">
        <v>461</v>
      </c>
      <c r="N8" s="61">
        <v>0</v>
      </c>
      <c r="O8" s="66">
        <v>45411</v>
      </c>
    </row>
    <row r="9" spans="2:15" s="44" customFormat="1" ht="44.45" customHeight="1">
      <c r="B9" s="45" t="s">
        <v>88</v>
      </c>
      <c r="C9" s="45" t="s">
        <v>269</v>
      </c>
      <c r="D9" s="61" t="s">
        <v>462</v>
      </c>
      <c r="E9" s="49">
        <v>610001881</v>
      </c>
      <c r="F9" s="50" t="s">
        <v>459</v>
      </c>
      <c r="G9" s="46"/>
      <c r="H9" s="47"/>
      <c r="I9" s="46"/>
      <c r="J9" s="46"/>
      <c r="K9" s="46">
        <v>11</v>
      </c>
      <c r="L9" s="45"/>
      <c r="M9" s="45"/>
      <c r="N9" s="45"/>
      <c r="O9" s="48">
        <v>45387</v>
      </c>
    </row>
    <row r="10" spans="2:15" s="30" customFormat="1" ht="44.45" customHeight="1">
      <c r="B10" s="38" t="s">
        <v>78</v>
      </c>
      <c r="C10" s="45" t="s">
        <v>269</v>
      </c>
      <c r="D10" s="43" t="s">
        <v>471</v>
      </c>
      <c r="E10" s="41">
        <v>38765258200000</v>
      </c>
      <c r="F10" s="41">
        <v>22.21</v>
      </c>
      <c r="G10" s="64"/>
      <c r="H10" s="42"/>
      <c r="I10" s="65"/>
      <c r="J10" s="39"/>
      <c r="K10" s="39">
        <v>16</v>
      </c>
      <c r="L10" s="39"/>
      <c r="M10" s="39"/>
      <c r="N10" s="39"/>
      <c r="O10" s="52"/>
    </row>
    <row r="11" spans="2:15" ht="44.45" customHeight="1">
      <c r="B11" s="75" t="s">
        <v>91</v>
      </c>
      <c r="C11" s="77" t="s">
        <v>269</v>
      </c>
      <c r="D11" s="76" t="s">
        <v>472</v>
      </c>
      <c r="E11" s="82" t="s">
        <v>473</v>
      </c>
      <c r="F11" s="83" t="s">
        <v>474</v>
      </c>
      <c r="G11" s="83">
        <v>376</v>
      </c>
      <c r="H11" s="84" t="s">
        <v>475</v>
      </c>
      <c r="I11" s="84">
        <v>0</v>
      </c>
      <c r="J11" s="84" t="s">
        <v>463</v>
      </c>
      <c r="K11" s="84"/>
      <c r="L11" s="84"/>
      <c r="M11" s="84"/>
      <c r="N11" s="84"/>
      <c r="O11" s="74">
        <v>45477</v>
      </c>
    </row>
    <row r="12" spans="2:15" ht="44.45" customHeight="1">
      <c r="B12" s="75" t="s">
        <v>91</v>
      </c>
      <c r="C12" s="77" t="s">
        <v>269</v>
      </c>
      <c r="D12" s="76" t="s">
        <v>476</v>
      </c>
      <c r="E12" s="83" t="s">
        <v>477</v>
      </c>
      <c r="F12" s="83" t="s">
        <v>474</v>
      </c>
      <c r="G12" s="83">
        <v>766</v>
      </c>
      <c r="H12" s="84" t="s">
        <v>475</v>
      </c>
      <c r="I12" s="84">
        <v>0</v>
      </c>
      <c r="J12" s="84" t="s">
        <v>463</v>
      </c>
      <c r="K12" s="81"/>
      <c r="L12" s="81"/>
      <c r="M12" s="81"/>
      <c r="N12" s="81"/>
      <c r="O12" s="74">
        <v>45482</v>
      </c>
    </row>
    <row r="13" spans="2:15" ht="44.45" customHeight="1">
      <c r="B13" s="75"/>
      <c r="C13" s="77" t="s">
        <v>269</v>
      </c>
      <c r="D13" s="76" t="s">
        <v>478</v>
      </c>
      <c r="E13" s="73">
        <v>388847827</v>
      </c>
      <c r="F13" s="73" t="s">
        <v>479</v>
      </c>
      <c r="G13" s="83">
        <v>17</v>
      </c>
      <c r="H13" s="73" t="s">
        <v>480</v>
      </c>
      <c r="I13" s="73">
        <v>0</v>
      </c>
      <c r="J13" s="73" t="s">
        <v>449</v>
      </c>
      <c r="K13" s="76"/>
      <c r="L13" s="76"/>
      <c r="M13" s="76"/>
      <c r="N13" s="76"/>
      <c r="O13" s="74">
        <v>45488</v>
      </c>
    </row>
    <row r="14" spans="2:15" ht="44.45" customHeight="1">
      <c r="B14" s="75" t="s">
        <v>91</v>
      </c>
      <c r="C14" s="77" t="s">
        <v>269</v>
      </c>
      <c r="D14" s="76" t="s">
        <v>481</v>
      </c>
      <c r="E14" s="73">
        <v>388128759</v>
      </c>
      <c r="F14" s="73" t="s">
        <v>465</v>
      </c>
      <c r="G14" s="73">
        <v>52</v>
      </c>
      <c r="H14" s="73" t="s">
        <v>475</v>
      </c>
      <c r="I14" s="84">
        <v>0</v>
      </c>
      <c r="J14" s="73" t="s">
        <v>453</v>
      </c>
      <c r="K14" s="76"/>
      <c r="L14" s="76"/>
      <c r="M14" s="76"/>
      <c r="N14" s="76"/>
      <c r="O14" s="74">
        <v>45497</v>
      </c>
    </row>
    <row r="15" spans="2:15" ht="44.45" customHeight="1">
      <c r="B15" s="75" t="s">
        <v>91</v>
      </c>
      <c r="C15" s="77" t="s">
        <v>269</v>
      </c>
      <c r="D15" s="76" t="s">
        <v>482</v>
      </c>
      <c r="E15" s="73" t="s">
        <v>483</v>
      </c>
      <c r="F15" s="73" t="s">
        <v>484</v>
      </c>
      <c r="G15" s="73">
        <v>100</v>
      </c>
      <c r="H15" s="73" t="s">
        <v>464</v>
      </c>
      <c r="I15" s="84">
        <v>0</v>
      </c>
      <c r="J15" s="84" t="s">
        <v>463</v>
      </c>
      <c r="K15" s="85"/>
      <c r="L15" s="84">
        <v>100</v>
      </c>
      <c r="M15" s="84" t="s">
        <v>485</v>
      </c>
      <c r="N15" s="73" t="s">
        <v>464</v>
      </c>
      <c r="O15" s="74">
        <v>45499</v>
      </c>
    </row>
    <row r="16" spans="2:15" ht="44.45" customHeight="1">
      <c r="B16" s="75" t="s">
        <v>91</v>
      </c>
      <c r="C16" s="75" t="s">
        <v>269</v>
      </c>
      <c r="D16" s="86" t="s">
        <v>457</v>
      </c>
      <c r="E16" s="83" t="s">
        <v>451</v>
      </c>
      <c r="F16" s="83" t="s">
        <v>452</v>
      </c>
      <c r="G16" s="73">
        <v>0</v>
      </c>
      <c r="H16" s="73">
        <v>0</v>
      </c>
      <c r="I16" s="73">
        <v>0</v>
      </c>
      <c r="J16" s="73">
        <v>0</v>
      </c>
      <c r="K16" s="73">
        <v>11</v>
      </c>
      <c r="L16" s="73">
        <v>0</v>
      </c>
      <c r="M16" s="73">
        <v>0</v>
      </c>
      <c r="N16" s="73">
        <v>0</v>
      </c>
      <c r="O16" s="74">
        <v>45503</v>
      </c>
    </row>
    <row r="17" spans="2:16" ht="44.45" customHeight="1">
      <c r="B17" s="75" t="s">
        <v>91</v>
      </c>
      <c r="C17" s="75" t="s">
        <v>269</v>
      </c>
      <c r="D17" s="76" t="s">
        <v>486</v>
      </c>
      <c r="E17" s="76" t="s">
        <v>487</v>
      </c>
      <c r="F17" s="73" t="s">
        <v>450</v>
      </c>
      <c r="G17" s="73">
        <v>0</v>
      </c>
      <c r="H17" s="73">
        <v>0</v>
      </c>
      <c r="I17" s="73">
        <v>0</v>
      </c>
      <c r="J17" s="73">
        <v>0</v>
      </c>
      <c r="K17" s="73">
        <v>35</v>
      </c>
      <c r="L17" s="73">
        <v>0</v>
      </c>
      <c r="M17" s="73">
        <v>0</v>
      </c>
      <c r="N17" s="73">
        <v>0</v>
      </c>
      <c r="O17" s="74">
        <v>45502</v>
      </c>
    </row>
    <row r="18" spans="2:16" ht="44.45" customHeight="1">
      <c r="B18" s="75" t="s">
        <v>91</v>
      </c>
      <c r="C18" s="75" t="s">
        <v>269</v>
      </c>
      <c r="D18" s="76" t="s">
        <v>488</v>
      </c>
      <c r="E18" s="73">
        <v>12186107</v>
      </c>
      <c r="F18" s="73">
        <v>5811</v>
      </c>
      <c r="G18" s="73">
        <v>0</v>
      </c>
      <c r="H18" s="73">
        <v>0</v>
      </c>
      <c r="I18" s="73">
        <v>0</v>
      </c>
      <c r="J18" s="73">
        <v>0</v>
      </c>
      <c r="K18" s="73">
        <v>43</v>
      </c>
      <c r="L18" s="73">
        <v>0</v>
      </c>
      <c r="M18" s="73">
        <v>0</v>
      </c>
      <c r="N18" s="73">
        <v>0</v>
      </c>
      <c r="O18" s="74">
        <v>45495</v>
      </c>
    </row>
    <row r="19" spans="2:16" ht="44.45" customHeight="1">
      <c r="B19" s="75" t="s">
        <v>91</v>
      </c>
      <c r="C19" s="75" t="s">
        <v>269</v>
      </c>
      <c r="D19" s="76" t="s">
        <v>489</v>
      </c>
      <c r="E19" s="78" t="s">
        <v>490</v>
      </c>
      <c r="F19" s="79" t="s">
        <v>491</v>
      </c>
      <c r="G19" s="73">
        <v>0</v>
      </c>
      <c r="H19" s="73">
        <v>0</v>
      </c>
      <c r="I19" s="73">
        <v>0</v>
      </c>
      <c r="J19" s="73">
        <v>0</v>
      </c>
      <c r="K19" s="73">
        <v>151</v>
      </c>
      <c r="L19" s="73">
        <v>0</v>
      </c>
      <c r="M19" s="73">
        <v>0</v>
      </c>
      <c r="N19" s="73">
        <v>0</v>
      </c>
      <c r="O19" s="74">
        <v>45492</v>
      </c>
    </row>
    <row r="20" spans="2:16" ht="44.45" customHeight="1">
      <c r="B20" s="75" t="s">
        <v>91</v>
      </c>
      <c r="C20" s="75" t="s">
        <v>269</v>
      </c>
      <c r="D20" s="76" t="s">
        <v>492</v>
      </c>
      <c r="E20" s="80">
        <v>361571875</v>
      </c>
      <c r="F20" s="79" t="s">
        <v>493</v>
      </c>
      <c r="G20" s="73">
        <v>0</v>
      </c>
      <c r="H20" s="73">
        <v>0</v>
      </c>
      <c r="I20" s="73">
        <v>0</v>
      </c>
      <c r="J20" s="73">
        <v>0</v>
      </c>
      <c r="K20" s="73">
        <v>7</v>
      </c>
      <c r="L20" s="73">
        <v>0</v>
      </c>
      <c r="M20" s="73">
        <v>0</v>
      </c>
      <c r="N20" s="73">
        <v>0</v>
      </c>
      <c r="O20" s="74">
        <v>45491</v>
      </c>
    </row>
    <row r="21" spans="2:16" ht="44.45" customHeight="1">
      <c r="B21" s="75" t="s">
        <v>91</v>
      </c>
      <c r="C21" s="75" t="s">
        <v>269</v>
      </c>
      <c r="D21" s="76" t="s">
        <v>494</v>
      </c>
      <c r="E21" s="76">
        <v>11994880</v>
      </c>
      <c r="F21" s="73" t="s">
        <v>495</v>
      </c>
      <c r="G21" s="73">
        <v>0</v>
      </c>
      <c r="H21" s="73">
        <v>0</v>
      </c>
      <c r="I21" s="73">
        <v>0</v>
      </c>
      <c r="J21" s="73">
        <v>0</v>
      </c>
      <c r="K21" s="73">
        <v>33</v>
      </c>
      <c r="L21" s="73">
        <v>0</v>
      </c>
      <c r="M21" s="73">
        <v>0</v>
      </c>
      <c r="N21" s="73">
        <v>0</v>
      </c>
      <c r="O21" s="74">
        <v>45502</v>
      </c>
    </row>
    <row r="22" spans="2:16" ht="44.45" customHeight="1">
      <c r="B22" s="75" t="s">
        <v>91</v>
      </c>
      <c r="C22" s="75" t="s">
        <v>269</v>
      </c>
      <c r="D22" s="76" t="s">
        <v>496</v>
      </c>
      <c r="E22" s="76">
        <v>11574244</v>
      </c>
      <c r="F22" s="73" t="s">
        <v>497</v>
      </c>
      <c r="G22" s="73">
        <v>0</v>
      </c>
      <c r="H22" s="73">
        <v>0</v>
      </c>
      <c r="I22" s="73">
        <v>0</v>
      </c>
      <c r="J22" s="73">
        <v>0</v>
      </c>
      <c r="K22" s="73">
        <v>42</v>
      </c>
      <c r="L22" s="73">
        <v>0</v>
      </c>
      <c r="M22" s="73">
        <v>0</v>
      </c>
      <c r="N22" s="73">
        <v>0</v>
      </c>
      <c r="O22" s="74">
        <v>45499</v>
      </c>
    </row>
    <row r="23" spans="2:16" ht="44.45" customHeight="1">
      <c r="B23" s="75" t="s">
        <v>91</v>
      </c>
      <c r="C23" s="75" t="s">
        <v>269</v>
      </c>
      <c r="D23" s="76" t="s">
        <v>466</v>
      </c>
      <c r="E23" s="73">
        <v>145879994</v>
      </c>
      <c r="F23" s="73" t="s">
        <v>467</v>
      </c>
      <c r="G23" s="73">
        <v>0</v>
      </c>
      <c r="H23" s="73">
        <v>0</v>
      </c>
      <c r="I23" s="73">
        <v>0</v>
      </c>
      <c r="J23" s="73">
        <v>0</v>
      </c>
      <c r="K23" s="73">
        <v>5</v>
      </c>
      <c r="L23" s="73">
        <v>0</v>
      </c>
      <c r="M23" s="73">
        <v>0</v>
      </c>
      <c r="N23" s="73">
        <v>0</v>
      </c>
      <c r="O23" s="74">
        <v>45502</v>
      </c>
    </row>
    <row r="24" spans="2:16" ht="44.45" customHeight="1">
      <c r="B24" s="75" t="s">
        <v>91</v>
      </c>
      <c r="C24" s="75" t="s">
        <v>269</v>
      </c>
      <c r="D24" s="76" t="s">
        <v>498</v>
      </c>
      <c r="E24" s="73">
        <v>12346982</v>
      </c>
      <c r="F24" s="73" t="s">
        <v>499</v>
      </c>
      <c r="G24" s="73">
        <v>0</v>
      </c>
      <c r="H24" s="73">
        <v>0</v>
      </c>
      <c r="I24" s="73">
        <v>0</v>
      </c>
      <c r="J24" s="73">
        <v>0</v>
      </c>
      <c r="K24" s="73">
        <v>15</v>
      </c>
      <c r="L24" s="73">
        <v>0</v>
      </c>
      <c r="M24" s="73">
        <v>0</v>
      </c>
      <c r="N24" s="73">
        <v>0</v>
      </c>
      <c r="O24" s="74">
        <v>45502</v>
      </c>
    </row>
    <row r="25" spans="2:16" ht="44.45" customHeight="1">
      <c r="B25" s="75" t="s">
        <v>91</v>
      </c>
      <c r="C25" s="75" t="s">
        <v>269</v>
      </c>
      <c r="D25" s="76" t="s">
        <v>500</v>
      </c>
      <c r="E25" s="73">
        <v>146031929</v>
      </c>
      <c r="F25" s="73" t="s">
        <v>450</v>
      </c>
      <c r="G25" s="73">
        <v>0</v>
      </c>
      <c r="H25" s="73">
        <v>0</v>
      </c>
      <c r="I25" s="73">
        <v>0</v>
      </c>
      <c r="J25" s="73">
        <v>0</v>
      </c>
      <c r="K25" s="73">
        <v>19</v>
      </c>
      <c r="L25" s="73">
        <v>0</v>
      </c>
      <c r="M25" s="73">
        <v>0</v>
      </c>
      <c r="N25" s="73">
        <v>0</v>
      </c>
      <c r="O25" s="74">
        <v>45502</v>
      </c>
    </row>
    <row r="26" spans="2:16" ht="44.45" customHeight="1">
      <c r="B26" s="75" t="s">
        <v>91</v>
      </c>
      <c r="C26" s="75" t="s">
        <v>269</v>
      </c>
      <c r="D26" s="76" t="s">
        <v>481</v>
      </c>
      <c r="E26" s="73">
        <v>388128759</v>
      </c>
      <c r="F26" s="73" t="s">
        <v>465</v>
      </c>
      <c r="G26" s="73">
        <v>0</v>
      </c>
      <c r="H26" s="73">
        <v>0</v>
      </c>
      <c r="I26" s="73">
        <v>0</v>
      </c>
      <c r="J26" s="73">
        <v>0</v>
      </c>
      <c r="K26" s="73">
        <v>59</v>
      </c>
      <c r="L26" s="73">
        <v>0</v>
      </c>
      <c r="M26" s="73">
        <v>0</v>
      </c>
      <c r="N26" s="73">
        <v>0</v>
      </c>
      <c r="O26" s="74">
        <v>45503</v>
      </c>
      <c r="P26" s="37"/>
    </row>
    <row r="27" spans="2:16" ht="44.45" customHeight="1">
      <c r="B27" s="75" t="s">
        <v>91</v>
      </c>
      <c r="C27" s="75" t="s">
        <v>269</v>
      </c>
      <c r="D27" s="76" t="s">
        <v>501</v>
      </c>
      <c r="E27" s="73" t="s">
        <v>502</v>
      </c>
      <c r="F27" s="73" t="s">
        <v>503</v>
      </c>
      <c r="G27" s="73">
        <v>0</v>
      </c>
      <c r="H27" s="73">
        <v>0</v>
      </c>
      <c r="I27" s="73">
        <v>0</v>
      </c>
      <c r="J27" s="73">
        <v>0</v>
      </c>
      <c r="K27" s="73">
        <v>42</v>
      </c>
      <c r="L27" s="73">
        <v>0</v>
      </c>
      <c r="M27" s="73">
        <v>0</v>
      </c>
      <c r="N27" s="73">
        <v>0</v>
      </c>
      <c r="O27" s="74">
        <v>45503</v>
      </c>
      <c r="P27" s="37"/>
    </row>
    <row r="28" spans="2:16" ht="44.45" customHeight="1">
      <c r="B28" s="75" t="s">
        <v>504</v>
      </c>
      <c r="C28" s="75" t="s">
        <v>505</v>
      </c>
      <c r="D28" s="76" t="s">
        <v>506</v>
      </c>
      <c r="E28" s="73" t="s">
        <v>507</v>
      </c>
      <c r="F28" s="73">
        <v>4941</v>
      </c>
      <c r="G28" s="73">
        <v>0</v>
      </c>
      <c r="H28" s="73">
        <v>0</v>
      </c>
      <c r="I28" s="73">
        <v>0</v>
      </c>
      <c r="J28" s="73" t="s">
        <v>449</v>
      </c>
      <c r="K28" s="73">
        <v>14</v>
      </c>
      <c r="L28" s="73">
        <v>0</v>
      </c>
      <c r="M28" s="73">
        <v>0</v>
      </c>
      <c r="N28" s="73">
        <v>0</v>
      </c>
      <c r="O28" s="74">
        <v>45506</v>
      </c>
      <c r="P28" s="37"/>
    </row>
    <row r="29" spans="2:16" ht="44.45" customHeight="1">
      <c r="B29" s="43" t="s">
        <v>458</v>
      </c>
      <c r="C29" s="43" t="s">
        <v>269</v>
      </c>
      <c r="D29" s="43" t="s">
        <v>468</v>
      </c>
      <c r="E29" s="67">
        <v>384391023</v>
      </c>
      <c r="F29" s="43" t="s">
        <v>469</v>
      </c>
      <c r="G29" s="43">
        <v>0</v>
      </c>
      <c r="H29" s="43" t="s">
        <v>470</v>
      </c>
      <c r="I29" s="43">
        <v>0</v>
      </c>
      <c r="J29" s="43" t="s">
        <v>449</v>
      </c>
      <c r="K29" s="43">
        <v>20</v>
      </c>
      <c r="L29" s="43">
        <v>0</v>
      </c>
      <c r="M29" s="43">
        <v>0</v>
      </c>
      <c r="N29" s="43">
        <v>0</v>
      </c>
      <c r="O29" s="51">
        <v>45468</v>
      </c>
    </row>
    <row r="30" spans="2:16" ht="32.450000000000003" customHeight="1">
      <c r="G30" s="72">
        <f>SUM(G8:G29)</f>
        <v>1311</v>
      </c>
      <c r="H30" s="72"/>
      <c r="I30" s="72">
        <f t="shared" ref="I30:L30" si="0">SUM(I8:I29)</f>
        <v>0</v>
      </c>
      <c r="J30" s="72"/>
      <c r="K30" s="72">
        <f t="shared" si="0"/>
        <v>525</v>
      </c>
      <c r="L30" s="72">
        <f t="shared" si="0"/>
        <v>102</v>
      </c>
      <c r="M30" s="54"/>
      <c r="N30" s="54"/>
      <c r="O30" s="54"/>
    </row>
    <row r="31" spans="2:16" ht="12.75"/>
    <row r="32" spans="2:16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Michał Pacuski</cp:lastModifiedBy>
  <cp:lastPrinted>2020-08-05T11:40:15Z</cp:lastPrinted>
  <dcterms:created xsi:type="dcterms:W3CDTF">2009-02-04T13:09:17Z</dcterms:created>
  <dcterms:modified xsi:type="dcterms:W3CDTF">2024-08-05T10:28:54Z</dcterms:modified>
</cp:coreProperties>
</file>
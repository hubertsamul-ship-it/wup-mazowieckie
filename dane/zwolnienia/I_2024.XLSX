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PBSSP\dane_miesieczne\Zwolnienia\2024\"/>
    </mc:Choice>
  </mc:AlternateContent>
  <xr:revisionPtr revIDLastSave="0" documentId="13_ncr:1_{C6278149-9B93-4A24-9099-8229220F67F7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dane!$A$1:$O$24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5" l="1"/>
  <c r="G25" i="5"/>
  <c r="K25" i="5"/>
  <c r="R46" i="5" l="1"/>
  <c r="E2" i="5"/>
  <c r="D2" i="5"/>
  <c r="C2" i="5" l="1"/>
</calcChain>
</file>

<file path=xl/sharedStrings.xml><?xml version="1.0" encoding="utf-8"?>
<sst xmlns="http://schemas.openxmlformats.org/spreadsheetml/2006/main" count="563" uniqueCount="510">
  <si>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</si>
  <si>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</si>
  <si>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</si>
  <si>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</si>
  <si>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</si>
  <si>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</si>
  <si>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</si>
  <si>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</si>
  <si>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</si>
  <si>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</si>
  <si>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</si>
  <si>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</si>
  <si>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</si>
  <si>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</si>
  <si>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</si>
  <si>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</si>
  <si>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</si>
  <si>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</si>
  <si>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</si>
  <si>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</si>
  <si>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</si>
  <si>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</si>
  <si>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</si>
  <si>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</si>
  <si>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</si>
  <si>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</si>
  <si>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</si>
  <si>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</si>
  <si>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</si>
  <si>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</si>
  <si>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</si>
  <si>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</si>
  <si>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</si>
  <si>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</si>
  <si>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</si>
  <si>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</si>
  <si>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</si>
  <si>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</si>
  <si>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</si>
  <si>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</si>
  <si>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</si>
  <si>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</si>
  <si>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</si>
  <si>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</si>
  <si>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</si>
  <si>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</si>
  <si>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</si>
  <si>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</si>
  <si>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</si>
  <si>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</si>
  <si>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</si>
  <si>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</si>
  <si>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</si>
  <si>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</si>
  <si>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</si>
  <si>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</si>
  <si>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</si>
  <si>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</si>
  <si>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</si>
  <si>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</si>
  <si>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</si>
  <si>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</si>
  <si>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</si>
  <si>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</si>
  <si>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</si>
  <si>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</si>
  <si>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</si>
  <si>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</si>
  <si>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</si>
  <si>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</si>
  <si>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</si>
  <si>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</si>
  <si>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</si>
  <si>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</si>
  <si>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</si>
  <si>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</si>
  <si>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</si>
  <si>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</si>
  <si>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</si>
  <si>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</si>
  <si>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</si>
  <si>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</si>
  <si>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</si>
  <si>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</si>
  <si>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</si>
  <si>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</si>
  <si>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</si>
  <si>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</si>
  <si>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</si>
  <si>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</si>
  <si>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</si>
  <si>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</si>
  <si>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</si>
  <si>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</si>
  <si>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</si>
  <si>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</si>
  <si>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</si>
  <si>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</si>
  <si>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</si>
  <si>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</si>
  <si>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</si>
  <si>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</si>
  <si>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</si>
  <si>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</si>
  <si>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</si>
  <si>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</si>
  <si>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</si>
  <si>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</si>
  <si>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</si>
  <si>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</si>
  <si>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</si>
  <si>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</si>
  <si>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</si>
  <si>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</si>
  <si>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</si>
  <si>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</si>
  <si>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</si>
  <si>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</si>
  <si>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</si>
  <si>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</si>
  <si>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</si>
  <si>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</si>
  <si>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</si>
  <si>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</si>
  <si>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</si>
  <si>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</si>
  <si>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</si>
  <si>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</si>
  <si>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</si>
  <si>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</si>
  <si>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</si>
  <si>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</si>
  <si>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</si>
  <si>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</si>
  <si>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</si>
  <si>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</si>
  <si>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</si>
  <si>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</si>
  <si>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</si>
  <si>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</si>
  <si>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</si>
  <si>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</si>
  <si>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</si>
  <si>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</si>
  <si>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</si>
  <si>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</si>
  <si>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</si>
  <si>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</si>
  <si>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</si>
  <si>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</si>
  <si>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</si>
  <si>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</si>
  <si>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</si>
  <si>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</si>
  <si>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</si>
  <si>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</si>
  <si>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</si>
  <si>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</si>
  <si>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</si>
  <si>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</si>
  <si>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</si>
  <si>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</si>
  <si>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</si>
  <si>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</si>
  <si>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</si>
  <si>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</si>
  <si>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</si>
  <si>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</si>
  <si>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</si>
  <si>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</si>
  <si>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</si>
  <si>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</si>
  <si>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</si>
  <si>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</si>
  <si>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</si>
  <si>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</si>
  <si>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</si>
  <si>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</si>
  <si>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</si>
  <si>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</si>
  <si>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</si>
  <si>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</si>
  <si>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</si>
  <si>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</si>
  <si>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</si>
  <si>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</si>
  <si>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</si>
  <si>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</si>
  <si>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</si>
  <si>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</si>
  <si>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</si>
  <si>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</si>
  <si>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</si>
  <si>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</si>
  <si>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</si>
  <si>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</si>
  <si>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</si>
  <si>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</si>
  <si>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</si>
  <si>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</si>
  <si>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</si>
  <si>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</si>
  <si>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</si>
  <si>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</si>
  <si>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</si>
  <si>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</si>
  <si>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</si>
  <si>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</si>
  <si>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</si>
  <si>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</si>
  <si>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</si>
  <si>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</si>
  <si>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</si>
  <si>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</si>
  <si>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</si>
  <si>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</si>
  <si>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</si>
  <si>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</si>
  <si>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</si>
  <si>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</si>
  <si>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</si>
  <si>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</si>
  <si>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</si>
  <si>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</si>
  <si>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</si>
  <si>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</si>
  <si>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</si>
  <si>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</si>
  <si>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</si>
  <si>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</si>
  <si>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</si>
  <si>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</si>
  <si>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</si>
  <si>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</si>
  <si>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</si>
  <si>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</si>
  <si>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</si>
  <si>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</si>
  <si>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</si>
  <si>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</si>
  <si>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</si>
  <si>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</si>
  <si>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</si>
  <si>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</si>
  <si>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</si>
  <si>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</si>
  <si>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</si>
  <si>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</si>
  <si>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</si>
  <si>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</si>
  <si>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</si>
  <si>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</si>
  <si>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</si>
  <si>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</si>
  <si>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</si>
  <si>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</si>
  <si>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</si>
  <si>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</si>
  <si>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</si>
  <si>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</si>
  <si>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</si>
  <si>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</si>
  <si>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</si>
  <si>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</si>
  <si>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</si>
  <si>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</si>
  <si>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</si>
  <si>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</si>
  <si>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</si>
  <si>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</si>
  <si>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</si>
  <si>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</si>
  <si>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</si>
  <si>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</si>
  <si>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</si>
  <si>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</si>
  <si>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</si>
  <si>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</si>
  <si>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</si>
  <si>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</si>
  <si>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</si>
  <si>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</si>
  <si>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</si>
  <si>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</si>
  <si>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</si>
  <si>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</si>
  <si>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</si>
  <si>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</si>
  <si>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</si>
  <si>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</si>
  <si>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</si>
  <si>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</si>
  <si>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</si>
  <si>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</si>
  <si>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</si>
  <si>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</si>
  <si>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</si>
  <si>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</si>
  <si>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</si>
  <si>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</si>
  <si>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</si>
  <si>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</si>
  <si>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</si>
  <si>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</si>
  <si>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</si>
  <si>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</si>
  <si>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</si>
  <si>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</si>
  <si>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</si>
  <si>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</si>
  <si>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</si>
  <si>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</si>
  <si>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</si>
  <si>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</si>
  <si>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</si>
  <si>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</si>
  <si>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</si>
  <si>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</si>
  <si>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</si>
  <si>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</si>
  <si>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</si>
  <si>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</si>
  <si>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</si>
  <si>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</si>
  <si>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</si>
  <si>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</si>
  <si>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</si>
  <si>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</si>
  <si>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</si>
  <si>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</si>
  <si>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</si>
  <si>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</si>
  <si>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</si>
  <si>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</si>
  <si>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</si>
  <si>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</si>
  <si>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</si>
  <si>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</si>
  <si>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</si>
  <si>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</si>
  <si>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</si>
  <si>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</si>
  <si>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</si>
  <si>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</si>
  <si>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</si>
  <si>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</si>
  <si>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</si>
  <si>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</si>
  <si>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</si>
  <si>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</si>
  <si>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</si>
  <si>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</si>
  <si>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</si>
  <si>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</si>
  <si>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</si>
  <si>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</si>
  <si>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</si>
  <si>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</si>
  <si>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</si>
  <si>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</si>
  <si>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</si>
  <si>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</si>
  <si>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</si>
  <si>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</si>
  <si>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</si>
  <si>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</si>
  <si>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</si>
  <si>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</si>
  <si>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</si>
  <si>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</si>
  <si>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</si>
  <si>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</si>
  <si>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</si>
  <si>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</si>
  <si>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</si>
  <si>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</si>
  <si>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</si>
  <si>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</si>
  <si>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</si>
  <si>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</si>
  <si>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</si>
  <si>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</si>
  <si>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</si>
  <si>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</si>
  <si>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</si>
  <si>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</si>
  <si>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</si>
  <si>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</si>
  <si>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</si>
  <si>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</si>
  <si>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</si>
  <si>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</si>
  <si>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</si>
  <si>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</si>
  <si>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</si>
  <si>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</si>
  <si>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</si>
  <si>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</si>
  <si>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</si>
  <si>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</si>
  <si>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</si>
  <si>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</si>
  <si>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</si>
  <si>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</si>
  <si>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</si>
  <si>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</si>
  <si>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</si>
  <si>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</si>
  <si>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</si>
  <si>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</si>
  <si>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</si>
  <si>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</si>
  <si>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</si>
  <si>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</si>
  <si>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</si>
  <si>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</si>
  <si>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</si>
  <si>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</si>
  <si>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</si>
  <si>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</si>
  <si>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</si>
  <si>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</si>
  <si>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</si>
  <si>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</si>
  <si>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</si>
  <si>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</si>
  <si>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</si>
  <si>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</si>
  <si>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</si>
  <si>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</si>
  <si>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</si>
  <si>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</si>
  <si>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</si>
  <si>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</si>
  <si>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</si>
  <si>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</si>
  <si>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</si>
  <si>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</si>
  <si>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</si>
  <si>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</si>
  <si>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</si>
  <si>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</si>
  <si>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</si>
  <si>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</si>
  <si>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</si>
  <si>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</si>
  <si>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</si>
  <si>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</si>
  <si>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</si>
  <si>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</si>
  <si>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</si>
  <si>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</si>
  <si>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nie</t>
  </si>
  <si>
    <t>Hubert Samul</t>
  </si>
  <si>
    <t>48 22 578 44 17</t>
  </si>
  <si>
    <t>h.samul@wup.mazowsze.pl</t>
  </si>
  <si>
    <t>6201Z</t>
  </si>
  <si>
    <t>01-06.2024 r.</t>
  </si>
  <si>
    <t xml:space="preserve">  364942148</t>
  </si>
  <si>
    <t>6209Z</t>
  </si>
  <si>
    <t>01-03.2024 r.</t>
  </si>
  <si>
    <t>6619Z</t>
  </si>
  <si>
    <t>Warszawskie Zakłady Farmaceutyczne Polfa Spółka Akcyjna                                            ul. Karolkowa 22/24                                             01-207 Warszawa</t>
  </si>
  <si>
    <t>2120Z</t>
  </si>
  <si>
    <t>Instytut Badań Edukacyjnych,ul.Górczewska 8,01-180 Warszawa</t>
  </si>
  <si>
    <t>REGON000178235</t>
  </si>
  <si>
    <t>7220Z</t>
  </si>
  <si>
    <t>do 29.02.2024 albo do 31.03.2024</t>
  </si>
  <si>
    <t>Gryf Direct Sp. z o. o.                             ul.Kamińskiego 18/39                               03-130 Warszawa</t>
  </si>
  <si>
    <t>1814Z</t>
  </si>
  <si>
    <t>Vmware Poland Sp. z o.o.                           Al. Jerozlimskie  181 B                                          02-222 Warszawa</t>
  </si>
  <si>
    <t>380934952</t>
  </si>
  <si>
    <t>7490Z</t>
  </si>
  <si>
    <t>01-04.2024 r.</t>
  </si>
  <si>
    <t>METRO PROPERTIES  Sp. z o.o                                     Al. Krakowska 61                                       02-183 Warszawa</t>
  </si>
  <si>
    <t>6820Z</t>
  </si>
  <si>
    <t>Agora S.A.                                                ul. Czerska 8/10                                        00-732 Warszawa</t>
  </si>
  <si>
    <t>011559486</t>
  </si>
  <si>
    <t>5813Z</t>
  </si>
  <si>
    <t>02-05.2024 r.</t>
  </si>
  <si>
    <t xml:space="preserve">Pracodawca samodzielnie  realizuje outplacment dla pracowników objętych procesem zwolnień grupowych.                                    W ramach wsparcia oferuje pośrednictwo pracy i poradnictwo zawodowe  </t>
  </si>
  <si>
    <t>Instytut Badań Edukacyjnych                              ul. Górczewska 8                                      01-180 Warszawa</t>
  </si>
  <si>
    <t>000178235</t>
  </si>
  <si>
    <t>02-04.2024 r.</t>
  </si>
  <si>
    <t>Go Student                                               ul. Bitwy Warszawskiej 1920 r. 7                                       02-366 Warszawa</t>
  </si>
  <si>
    <t>520263257</t>
  </si>
  <si>
    <t>6312Z</t>
  </si>
  <si>
    <t>Ework Group Sp. z o.o.                                ul. Marszłkowska 107                             00-110 Warszawa</t>
  </si>
  <si>
    <t>6202Z</t>
  </si>
  <si>
    <t xml:space="preserve">Credipass Sp. zo.o.                                                   ul. Wołowska  22                                        02-675 Warszawa </t>
  </si>
  <si>
    <t>141153906</t>
  </si>
  <si>
    <t>Oriflame Poland Sp. z o.o.                           ul.Wołowska 22                                            02-675 Warszawa</t>
  </si>
  <si>
    <t>002197604</t>
  </si>
  <si>
    <t>4645Z</t>
  </si>
  <si>
    <t>System Gazociągów Tranzytowych EuRoPol GAZ S.A.                                   ul.Topiel 12                                                                                                                              00-342 Warszawa</t>
  </si>
  <si>
    <t>010407343</t>
  </si>
  <si>
    <t>4950A</t>
  </si>
  <si>
    <t>Nokia Solutions and Networks                                                                                               Sp. z o.o.                                                                                                                               ul. Rodziny Hiszpańskich 8                                                                                               02-685 Warszawa</t>
  </si>
  <si>
    <t>140718341</t>
  </si>
  <si>
    <t>6120Z</t>
  </si>
  <si>
    <t>Packhelp S.A.                                                   ul. Kolejowa 5/7                                           01-217 Warszawa</t>
  </si>
  <si>
    <t>1721Z</t>
  </si>
  <si>
    <t>000043937</t>
  </si>
  <si>
    <t>Everli Poland Sp. z o.o.                           ul. Krucza 50                                          00-025 Warszawa</t>
  </si>
  <si>
    <t>WOŁOMIŃSKI</t>
  </si>
  <si>
    <t>Instytut Badań Edukacyjnych</t>
  </si>
  <si>
    <t>00017823500000</t>
  </si>
  <si>
    <t>01.01.24 - 31.03.24</t>
  </si>
  <si>
    <t>NIE</t>
  </si>
  <si>
    <r>
      <rPr>
        <sz val="11"/>
        <rFont val="Calibri"/>
        <family val="2"/>
        <charset val="238"/>
        <scheme val="minor"/>
      </rPr>
      <t xml:space="preserve">Frontiers Open Science   Sp. z o.o.     </t>
    </r>
    <r>
      <rPr>
        <sz val="11"/>
        <color rgb="FFFF0000"/>
        <rFont val="Calibri"/>
        <family val="2"/>
        <charset val="238"/>
        <scheme val="minor"/>
      </rPr>
      <t xml:space="preserve">                    </t>
    </r>
    <r>
      <rPr>
        <sz val="11"/>
        <rFont val="Calibri"/>
        <family val="2"/>
        <charset val="238"/>
        <scheme val="minor"/>
      </rPr>
      <t>Al. Ujazdowskie 41                                    00-540 Warszawa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</si>
</sst>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5]General"/>
  </numFmts>
  <fonts count="22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name val="Calibri"/>
      <family val="2"/>
      <charset val="238"/>
    </font>
    <font>
      <sz val="10"/>
      <name val="Arial"/>
      <family val="2"/>
      <charset val="238"/>
    </font>
    <font>
      <sz val="11"/>
      <color rgb="FFFF000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0"/>
      <color rgb="FF424242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6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87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14" fontId="6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0" fillId="0" borderId="0" xfId="0" applyBorder="1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1" fontId="12" fillId="0" borderId="1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 wrapText="1"/>
    </xf>
    <xf numFmtId="14" fontId="12" fillId="0" borderId="1" xfId="0" applyNumberFormat="1" applyFont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 wrapText="1"/>
    </xf>
    <xf numFmtId="14" fontId="15" fillId="4" borderId="1" xfId="0" applyNumberFormat="1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horizontal="left" vertical="center" wrapText="1"/>
    </xf>
    <xf numFmtId="14" fontId="15" fillId="0" borderId="1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</cellXfs>
  <cellStyles count="9">
    <cellStyle name="Dziesiętny 2" xfId="6" xr:uid="{95F2F834-C8AF-4CFA-9632-7EC5FFBFCA5F}"/>
    <cellStyle name="Dziesiętny 3" xfId="7" xr:uid="{7D479643-D454-49EC-94B9-070247605B79}"/>
    <cellStyle name="Excel Built-in Normal" xfId="4" xr:uid="{00000000-0005-0000-0000-000000000000}"/>
    <cellStyle name="Hiperłącze" xfId="2" builtinId="8"/>
    <cellStyle name="Hiperłącze 2" xfId="3" xr:uid="{00000000-0005-0000-0000-000002000000}"/>
    <cellStyle name="Hiperłącze 3" xfId="5" xr:uid="{4C6CD572-F96E-416C-95D9-16F1550FE079}"/>
    <cellStyle name="Hiperłącze 4" xfId="8" xr:uid="{DBAC3570-FE12-48AA-9D1D-57A002FB5016}"/>
    <cellStyle name="Normalny" xfId="0" builtinId="0"/>
    <cellStyle name="Normalny 2" xfId="1" xr:uid="{00000000-0005-0000-0000-000004000000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D8" sqref="D8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281</v>
      </c>
      <c r="E7" s="10"/>
    </row>
    <row r="8" spans="3:7" ht="38.25" customHeight="1" thickBot="1">
      <c r="C8" s="12" t="s">
        <v>293</v>
      </c>
      <c r="D8" s="16">
        <v>2024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453</v>
      </c>
      <c r="E13" s="27" t="s">
        <v>455</v>
      </c>
      <c r="F13" s="28" t="s">
        <v>454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80" t="s">
        <v>438</v>
      </c>
      <c r="D22" s="19"/>
    </row>
    <row r="23" spans="3:6" ht="26.25">
      <c r="C23" s="80"/>
      <c r="D23" s="20" t="s">
        <v>280</v>
      </c>
    </row>
    <row r="24" spans="3:6" ht="28.5" customHeight="1">
      <c r="C24" s="80"/>
    </row>
    <row r="25" spans="3:6">
      <c r="C25" s="22"/>
    </row>
    <row r="26" spans="3:6">
      <c r="C26" s="80" t="s">
        <v>439</v>
      </c>
    </row>
    <row r="27" spans="3:6">
      <c r="C27" s="80"/>
    </row>
    <row r="28" spans="3:6" ht="23.25" customHeight="1">
      <c r="C28" s="80"/>
    </row>
    <row r="29" spans="3:6">
      <c r="C29" s="22"/>
    </row>
    <row r="30" spans="3:6" ht="12.75" customHeight="1">
      <c r="C30" s="80" t="s">
        <v>440</v>
      </c>
    </row>
    <row r="31" spans="3:6" ht="12.75" customHeight="1">
      <c r="C31" s="80"/>
    </row>
    <row r="32" spans="3:6" ht="21.75" customHeight="1">
      <c r="C32" s="80"/>
    </row>
    <row r="33" spans="3:3" ht="14.25" customHeight="1">
      <c r="C33" s="80"/>
    </row>
    <row r="34" spans="3:3">
      <c r="C34" s="80"/>
    </row>
    <row r="35" spans="3:3">
      <c r="C35" s="80"/>
    </row>
    <row r="37" spans="3:3" ht="12.75" customHeight="1">
      <c r="C37" s="80" t="s">
        <v>448</v>
      </c>
    </row>
    <row r="38" spans="3:3" ht="12.75" customHeight="1">
      <c r="C38" s="80"/>
    </row>
    <row r="39" spans="3:3" ht="19.5" customHeight="1">
      <c r="C39" s="80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00"/>
  <sheetViews>
    <sheetView tabSelected="1" topLeftCell="A23" zoomScale="80" zoomScaleNormal="80" zoomScaleSheetLayoutView="100" workbookViewId="0">
      <selection activeCell="J25" sqref="J25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" width="34.85546875" style="29" customWidth="1"/>
    <col min="17" max="16384" width="9.140625" style="29"/>
  </cols>
  <sheetData>
    <row r="1" spans="2:15" ht="20.100000000000001" customHeight="1">
      <c r="D1" s="31"/>
      <c r="F1" s="33"/>
    </row>
    <row r="2" spans="2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Styczeń </v>
      </c>
      <c r="E2" s="37">
        <f>'Dane podstawowe'!D8</f>
        <v>2024</v>
      </c>
      <c r="F2" s="38"/>
      <c r="G2" s="38"/>
      <c r="H2" s="38"/>
      <c r="I2" s="38"/>
    </row>
    <row r="3" spans="2:15" ht="20.100000000000001" customHeight="1">
      <c r="E3" s="40"/>
    </row>
    <row r="4" spans="2:15" ht="20.100000000000001" customHeight="1">
      <c r="B4" s="81" t="s">
        <v>430</v>
      </c>
      <c r="C4" s="81"/>
      <c r="D4" s="82"/>
      <c r="E4" s="40"/>
    </row>
    <row r="5" spans="2:15" ht="20.100000000000001" customHeight="1">
      <c r="B5" s="41"/>
      <c r="C5" s="41"/>
      <c r="D5" s="42"/>
      <c r="E5" s="40"/>
    </row>
    <row r="6" spans="2:15" ht="90.75" customHeight="1">
      <c r="B6" s="83" t="s">
        <v>444</v>
      </c>
      <c r="C6" s="83"/>
      <c r="D6" s="83"/>
      <c r="E6" s="83"/>
      <c r="F6" s="83"/>
      <c r="G6" s="84" t="s">
        <v>446</v>
      </c>
      <c r="H6" s="85"/>
      <c r="I6" s="85"/>
      <c r="J6" s="86"/>
      <c r="K6" s="47" t="s">
        <v>447</v>
      </c>
      <c r="L6" s="83" t="s">
        <v>445</v>
      </c>
      <c r="M6" s="83"/>
      <c r="N6" s="83"/>
      <c r="O6" s="43"/>
    </row>
    <row r="7" spans="2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2:15" ht="47.25" customHeight="1">
      <c r="B8" s="57" t="s">
        <v>72</v>
      </c>
      <c r="C8" s="57" t="s">
        <v>269</v>
      </c>
      <c r="D8" s="58" t="s">
        <v>464</v>
      </c>
      <c r="E8" s="59" t="s">
        <v>465</v>
      </c>
      <c r="F8" s="57" t="s">
        <v>466</v>
      </c>
      <c r="G8" s="60">
        <v>1</v>
      </c>
      <c r="H8" s="61" t="s">
        <v>467</v>
      </c>
      <c r="I8" s="60">
        <v>1</v>
      </c>
      <c r="J8" s="60" t="s">
        <v>452</v>
      </c>
      <c r="K8" s="60">
        <v>0</v>
      </c>
      <c r="L8" s="60">
        <v>0</v>
      </c>
      <c r="M8" s="60">
        <v>0</v>
      </c>
      <c r="N8" s="60">
        <v>0</v>
      </c>
      <c r="O8" s="62">
        <v>45317</v>
      </c>
    </row>
    <row r="9" spans="2:15" ht="48" customHeight="1">
      <c r="B9" s="63" t="s">
        <v>91</v>
      </c>
      <c r="C9" s="63" t="s">
        <v>269</v>
      </c>
      <c r="D9" s="64" t="s">
        <v>468</v>
      </c>
      <c r="E9" s="65">
        <v>12346982</v>
      </c>
      <c r="F9" s="65" t="s">
        <v>469</v>
      </c>
      <c r="G9" s="66">
        <v>15</v>
      </c>
      <c r="H9" s="66" t="s">
        <v>457</v>
      </c>
      <c r="I9" s="66">
        <v>0</v>
      </c>
      <c r="J9" s="66" t="s">
        <v>452</v>
      </c>
      <c r="K9" s="66"/>
      <c r="L9" s="66"/>
      <c r="M9" s="66"/>
      <c r="N9" s="66"/>
      <c r="O9" s="67">
        <v>45294</v>
      </c>
    </row>
    <row r="10" spans="2:15" ht="48" customHeight="1">
      <c r="B10" s="68" t="s">
        <v>91</v>
      </c>
      <c r="C10" s="68" t="s">
        <v>269</v>
      </c>
      <c r="D10" s="69" t="s">
        <v>470</v>
      </c>
      <c r="E10" s="70" t="s">
        <v>471</v>
      </c>
      <c r="F10" s="68" t="s">
        <v>472</v>
      </c>
      <c r="G10" s="71">
        <v>20</v>
      </c>
      <c r="H10" s="72" t="s">
        <v>473</v>
      </c>
      <c r="I10" s="71">
        <v>0</v>
      </c>
      <c r="J10" s="71" t="s">
        <v>452</v>
      </c>
      <c r="K10" s="71"/>
      <c r="L10" s="71"/>
      <c r="M10" s="72"/>
      <c r="N10" s="72"/>
      <c r="O10" s="67">
        <v>45295</v>
      </c>
    </row>
    <row r="11" spans="2:15" ht="48" customHeight="1">
      <c r="B11" s="68" t="s">
        <v>91</v>
      </c>
      <c r="C11" s="68" t="s">
        <v>269</v>
      </c>
      <c r="D11" s="69" t="s">
        <v>474</v>
      </c>
      <c r="E11" s="73">
        <v>11255007</v>
      </c>
      <c r="F11" s="68" t="s">
        <v>475</v>
      </c>
      <c r="G11" s="71">
        <v>12</v>
      </c>
      <c r="H11" s="72" t="s">
        <v>460</v>
      </c>
      <c r="I11" s="71">
        <v>0</v>
      </c>
      <c r="J11" s="71" t="s">
        <v>452</v>
      </c>
      <c r="K11" s="74"/>
      <c r="L11" s="74"/>
      <c r="M11" s="75"/>
      <c r="N11" s="75"/>
      <c r="O11" s="67">
        <v>45295</v>
      </c>
    </row>
    <row r="12" spans="2:15" ht="48" customHeight="1">
      <c r="B12" s="63" t="s">
        <v>91</v>
      </c>
      <c r="C12" s="63" t="s">
        <v>269</v>
      </c>
      <c r="D12" s="69" t="s">
        <v>476</v>
      </c>
      <c r="E12" s="70" t="s">
        <v>477</v>
      </c>
      <c r="F12" s="68" t="s">
        <v>478</v>
      </c>
      <c r="G12" s="71">
        <v>180</v>
      </c>
      <c r="H12" s="72" t="s">
        <v>479</v>
      </c>
      <c r="I12" s="71">
        <v>0</v>
      </c>
      <c r="J12" s="71" t="s">
        <v>452</v>
      </c>
      <c r="K12" s="74"/>
      <c r="L12" s="71">
        <v>180</v>
      </c>
      <c r="M12" s="72" t="s">
        <v>480</v>
      </c>
      <c r="N12" s="72" t="s">
        <v>479</v>
      </c>
      <c r="O12" s="67">
        <v>45302</v>
      </c>
    </row>
    <row r="13" spans="2:15" ht="51" customHeight="1">
      <c r="B13" s="76" t="s">
        <v>91</v>
      </c>
      <c r="C13" s="76" t="s">
        <v>269</v>
      </c>
      <c r="D13" s="77" t="s">
        <v>509</v>
      </c>
      <c r="E13" s="65">
        <v>388437271</v>
      </c>
      <c r="F13" s="65" t="s">
        <v>456</v>
      </c>
      <c r="G13" s="65">
        <v>22</v>
      </c>
      <c r="H13" s="66" t="s">
        <v>479</v>
      </c>
      <c r="I13" s="66">
        <v>0</v>
      </c>
      <c r="J13" s="66" t="s">
        <v>452</v>
      </c>
      <c r="K13" s="66"/>
      <c r="L13" s="66"/>
      <c r="M13" s="66"/>
      <c r="N13" s="66"/>
      <c r="O13" s="67">
        <v>45310</v>
      </c>
    </row>
    <row r="14" spans="2:15" ht="53.25" customHeight="1">
      <c r="B14" s="68" t="s">
        <v>91</v>
      </c>
      <c r="C14" s="68" t="s">
        <v>269</v>
      </c>
      <c r="D14" s="69" t="s">
        <v>481</v>
      </c>
      <c r="E14" s="70" t="s">
        <v>482</v>
      </c>
      <c r="F14" s="68" t="s">
        <v>466</v>
      </c>
      <c r="G14" s="71">
        <v>19</v>
      </c>
      <c r="H14" s="72" t="s">
        <v>483</v>
      </c>
      <c r="I14" s="71">
        <v>0</v>
      </c>
      <c r="J14" s="71" t="s">
        <v>452</v>
      </c>
      <c r="K14" s="74"/>
      <c r="L14" s="74"/>
      <c r="M14" s="75"/>
      <c r="N14" s="75"/>
      <c r="O14" s="67">
        <v>45316</v>
      </c>
    </row>
    <row r="15" spans="2:15" ht="66" customHeight="1">
      <c r="B15" s="68" t="s">
        <v>91</v>
      </c>
      <c r="C15" s="68" t="s">
        <v>269</v>
      </c>
      <c r="D15" s="69" t="s">
        <v>484</v>
      </c>
      <c r="E15" s="70" t="s">
        <v>485</v>
      </c>
      <c r="F15" s="70" t="s">
        <v>486</v>
      </c>
      <c r="G15" s="71">
        <v>27</v>
      </c>
      <c r="H15" s="72" t="s">
        <v>479</v>
      </c>
      <c r="I15" s="71">
        <v>0</v>
      </c>
      <c r="J15" s="71" t="s">
        <v>452</v>
      </c>
      <c r="K15" s="71"/>
      <c r="L15" s="71"/>
      <c r="M15" s="72"/>
      <c r="N15" s="72"/>
      <c r="O15" s="67">
        <v>45321</v>
      </c>
    </row>
    <row r="16" spans="2:15" ht="48" customHeight="1">
      <c r="B16" s="68" t="s">
        <v>91</v>
      </c>
      <c r="C16" s="68" t="s">
        <v>269</v>
      </c>
      <c r="D16" s="69" t="s">
        <v>487</v>
      </c>
      <c r="E16" s="73">
        <v>361571875</v>
      </c>
      <c r="F16" s="68" t="s">
        <v>488</v>
      </c>
      <c r="G16" s="71">
        <v>45</v>
      </c>
      <c r="H16" s="72" t="s">
        <v>479</v>
      </c>
      <c r="I16" s="71">
        <v>35</v>
      </c>
      <c r="J16" s="71" t="s">
        <v>452</v>
      </c>
      <c r="K16" s="74"/>
      <c r="L16" s="74"/>
      <c r="M16" s="75"/>
      <c r="N16" s="75"/>
      <c r="O16" s="67">
        <v>45321</v>
      </c>
    </row>
    <row r="17" spans="2:16" ht="51.75" customHeight="1">
      <c r="B17" s="68" t="s">
        <v>91</v>
      </c>
      <c r="C17" s="68" t="s">
        <v>269</v>
      </c>
      <c r="D17" s="69" t="s">
        <v>489</v>
      </c>
      <c r="E17" s="68" t="s">
        <v>490</v>
      </c>
      <c r="F17" s="68" t="s">
        <v>461</v>
      </c>
      <c r="G17" s="73">
        <v>0</v>
      </c>
      <c r="H17" s="73">
        <v>0</v>
      </c>
      <c r="I17" s="73">
        <v>0</v>
      </c>
      <c r="J17" s="73">
        <v>0</v>
      </c>
      <c r="K17" s="73">
        <v>875</v>
      </c>
      <c r="L17" s="73">
        <v>0</v>
      </c>
      <c r="M17" s="73">
        <v>0</v>
      </c>
      <c r="N17" s="73">
        <v>0</v>
      </c>
      <c r="O17" s="78">
        <v>45317</v>
      </c>
    </row>
    <row r="18" spans="2:16" ht="60.75" customHeight="1">
      <c r="B18" s="68" t="s">
        <v>91</v>
      </c>
      <c r="C18" s="68" t="s">
        <v>269</v>
      </c>
      <c r="D18" s="69" t="s">
        <v>491</v>
      </c>
      <c r="E18" s="73" t="s">
        <v>492</v>
      </c>
      <c r="F18" s="73" t="s">
        <v>493</v>
      </c>
      <c r="G18" s="73">
        <v>0</v>
      </c>
      <c r="H18" s="73">
        <v>0</v>
      </c>
      <c r="I18" s="73">
        <v>0</v>
      </c>
      <c r="J18" s="73">
        <v>0</v>
      </c>
      <c r="K18" s="73">
        <v>22</v>
      </c>
      <c r="L18" s="73">
        <v>0</v>
      </c>
      <c r="M18" s="73">
        <v>0</v>
      </c>
      <c r="N18" s="73">
        <v>0</v>
      </c>
      <c r="O18" s="78">
        <v>45321</v>
      </c>
    </row>
    <row r="19" spans="2:16" ht="63" customHeight="1">
      <c r="B19" s="68" t="s">
        <v>91</v>
      </c>
      <c r="C19" s="68" t="s">
        <v>269</v>
      </c>
      <c r="D19" s="69" t="s">
        <v>494</v>
      </c>
      <c r="E19" s="73" t="s">
        <v>495</v>
      </c>
      <c r="F19" s="73" t="s">
        <v>496</v>
      </c>
      <c r="G19" s="73">
        <v>0</v>
      </c>
      <c r="H19" s="73">
        <v>0</v>
      </c>
      <c r="I19" s="73">
        <v>0</v>
      </c>
      <c r="J19" s="73">
        <v>0</v>
      </c>
      <c r="K19" s="73">
        <v>61</v>
      </c>
      <c r="L19" s="73">
        <v>0</v>
      </c>
      <c r="M19" s="73">
        <v>0</v>
      </c>
      <c r="N19" s="73">
        <v>0</v>
      </c>
      <c r="O19" s="78">
        <v>45321</v>
      </c>
    </row>
    <row r="20" spans="2:16" ht="45.75" customHeight="1">
      <c r="B20" s="68" t="s">
        <v>91</v>
      </c>
      <c r="C20" s="68" t="s">
        <v>269</v>
      </c>
      <c r="D20" s="69" t="s">
        <v>497</v>
      </c>
      <c r="E20" s="73" t="s">
        <v>498</v>
      </c>
      <c r="F20" s="73" t="s">
        <v>499</v>
      </c>
      <c r="G20" s="73">
        <v>0</v>
      </c>
      <c r="H20" s="73">
        <v>0</v>
      </c>
      <c r="I20" s="73">
        <v>0</v>
      </c>
      <c r="J20" s="73">
        <v>0</v>
      </c>
      <c r="K20" s="73">
        <v>1</v>
      </c>
      <c r="L20" s="73">
        <v>0</v>
      </c>
      <c r="M20" s="73">
        <v>0</v>
      </c>
      <c r="N20" s="73">
        <v>0</v>
      </c>
      <c r="O20" s="78">
        <v>45321</v>
      </c>
    </row>
    <row r="21" spans="2:16" ht="51" customHeight="1">
      <c r="B21" s="68" t="s">
        <v>91</v>
      </c>
      <c r="C21" s="68" t="s">
        <v>269</v>
      </c>
      <c r="D21" s="69" t="s">
        <v>500</v>
      </c>
      <c r="E21" s="73">
        <v>362932312</v>
      </c>
      <c r="F21" s="73" t="s">
        <v>501</v>
      </c>
      <c r="G21" s="73">
        <v>0</v>
      </c>
      <c r="H21" s="73">
        <v>0</v>
      </c>
      <c r="I21" s="73">
        <v>0</v>
      </c>
      <c r="J21" s="73">
        <v>0</v>
      </c>
      <c r="K21" s="73">
        <v>13</v>
      </c>
      <c r="L21" s="73">
        <v>0</v>
      </c>
      <c r="M21" s="73">
        <v>0</v>
      </c>
      <c r="N21" s="73">
        <v>0</v>
      </c>
      <c r="O21" s="78">
        <v>45321</v>
      </c>
    </row>
    <row r="22" spans="2:16" ht="45" customHeight="1">
      <c r="B22" s="68" t="s">
        <v>91</v>
      </c>
      <c r="C22" s="68" t="s">
        <v>269</v>
      </c>
      <c r="D22" s="69" t="s">
        <v>462</v>
      </c>
      <c r="E22" s="73" t="s">
        <v>502</v>
      </c>
      <c r="F22" s="73" t="s">
        <v>463</v>
      </c>
      <c r="G22" s="73">
        <v>0</v>
      </c>
      <c r="H22" s="73">
        <v>0</v>
      </c>
      <c r="I22" s="73">
        <v>0</v>
      </c>
      <c r="J22" s="73">
        <v>0</v>
      </c>
      <c r="K22" s="73">
        <v>16</v>
      </c>
      <c r="L22" s="73">
        <v>0</v>
      </c>
      <c r="M22" s="73">
        <v>0</v>
      </c>
      <c r="N22" s="73">
        <v>0</v>
      </c>
      <c r="O22" s="78">
        <v>45321</v>
      </c>
    </row>
    <row r="23" spans="2:16" ht="45" customHeight="1">
      <c r="B23" s="68" t="s">
        <v>91</v>
      </c>
      <c r="C23" s="68" t="s">
        <v>269</v>
      </c>
      <c r="D23" s="69" t="s">
        <v>503</v>
      </c>
      <c r="E23" s="73" t="s">
        <v>458</v>
      </c>
      <c r="F23" s="73" t="s">
        <v>459</v>
      </c>
      <c r="G23" s="73">
        <v>0</v>
      </c>
      <c r="H23" s="73">
        <v>0</v>
      </c>
      <c r="I23" s="73">
        <v>0</v>
      </c>
      <c r="J23" s="73">
        <v>0</v>
      </c>
      <c r="K23" s="73">
        <v>18</v>
      </c>
      <c r="L23" s="73">
        <v>0</v>
      </c>
      <c r="M23" s="73">
        <v>0</v>
      </c>
      <c r="N23" s="73">
        <v>0</v>
      </c>
      <c r="O23" s="78">
        <v>45321</v>
      </c>
    </row>
    <row r="24" spans="2:16" ht="45" customHeight="1">
      <c r="B24" s="57" t="s">
        <v>504</v>
      </c>
      <c r="C24" s="57" t="s">
        <v>269</v>
      </c>
      <c r="D24" s="58" t="s">
        <v>505</v>
      </c>
      <c r="E24" s="79" t="s">
        <v>506</v>
      </c>
      <c r="F24" s="57">
        <v>7220</v>
      </c>
      <c r="G24" s="57">
        <v>1</v>
      </c>
      <c r="H24" s="57" t="s">
        <v>507</v>
      </c>
      <c r="I24" s="57">
        <v>0</v>
      </c>
      <c r="J24" s="57" t="s">
        <v>508</v>
      </c>
      <c r="K24" s="57">
        <v>1</v>
      </c>
      <c r="L24" s="57">
        <v>0</v>
      </c>
      <c r="M24" s="57">
        <v>0</v>
      </c>
      <c r="N24" s="57">
        <v>0</v>
      </c>
      <c r="O24" s="62">
        <v>45316</v>
      </c>
    </row>
    <row r="25" spans="2:16" ht="14.25">
      <c r="B25" s="49"/>
      <c r="C25" s="49"/>
      <c r="D25" s="50"/>
      <c r="E25" s="53"/>
      <c r="F25" s="52"/>
      <c r="G25" s="48">
        <f>SUM(G8:G24)</f>
        <v>342</v>
      </c>
      <c r="H25" s="48"/>
      <c r="I25" s="48">
        <f t="shared" ref="H25:J25" si="0">SUM(I8:I24)</f>
        <v>36</v>
      </c>
      <c r="J25" s="48"/>
      <c r="K25" s="48">
        <f>SUM(K8:K24)</f>
        <v>1007</v>
      </c>
      <c r="L25" s="48"/>
      <c r="M25" s="48"/>
      <c r="N25" s="48"/>
      <c r="O25" s="48"/>
      <c r="P25" s="54"/>
    </row>
    <row r="26" spans="2:16" ht="15">
      <c r="B26" s="55"/>
      <c r="C26" s="49"/>
      <c r="D26" s="50"/>
      <c r="E26" s="56"/>
      <c r="F26" s="52"/>
      <c r="G26" s="54"/>
      <c r="H26" s="48"/>
      <c r="I26" s="48"/>
      <c r="J26" s="48"/>
      <c r="K26" s="52"/>
      <c r="L26" s="48"/>
      <c r="M26" s="48"/>
      <c r="N26" s="48"/>
      <c r="O26" s="51"/>
      <c r="P26" s="54"/>
    </row>
    <row r="27" spans="2:16" ht="12.75"/>
    <row r="28" spans="2:16" ht="12.75"/>
    <row r="29" spans="2:16" ht="12.75"/>
    <row r="30" spans="2:16" ht="12.75"/>
    <row r="31" spans="2:16" ht="12.75"/>
    <row r="32" spans="2:16" ht="12.75"/>
    <row r="33" spans="18:18" ht="12.75"/>
    <row r="34" spans="18:18" ht="12.75"/>
    <row r="35" spans="18:18" ht="12.75"/>
    <row r="36" spans="18:18" ht="12.75"/>
    <row r="37" spans="18:18" ht="12.75"/>
    <row r="38" spans="18:18" ht="12.75"/>
    <row r="39" spans="18:18" ht="12.75"/>
    <row r="40" spans="18:18" ht="12.75"/>
    <row r="41" spans="18:18" ht="12.75"/>
    <row r="42" spans="18:18" ht="12.75"/>
    <row r="43" spans="18:18" ht="12.75"/>
    <row r="44" spans="18:18" ht="12.75"/>
    <row r="45" spans="18:18" ht="12.75">
      <c r="R45" s="29">
        <v>2348</v>
      </c>
    </row>
    <row r="46" spans="18:18" ht="12.75">
      <c r="R46" s="29">
        <f>R45-G25</f>
        <v>2006</v>
      </c>
    </row>
    <row r="47" spans="18:18" ht="12.75"/>
    <row r="48" spans="18:1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Hubert Samul</cp:lastModifiedBy>
  <cp:lastPrinted>2020-08-05T11:40:15Z</cp:lastPrinted>
  <dcterms:created xsi:type="dcterms:W3CDTF">2009-02-04T13:09:17Z</dcterms:created>
  <dcterms:modified xsi:type="dcterms:W3CDTF">2025-07-31T07:49:17Z</dcterms:modified>
</cp:coreProperties>
</file>
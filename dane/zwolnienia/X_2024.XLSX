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BSSP\dane_miesieczne\Zwolnienia\2024\"/>
    </mc:Choice>
  </mc:AlternateContent>
  <xr:revisionPtr revIDLastSave="0" documentId="13_ncr:1_{505904CD-CB15-4294-B61C-5218FADC629B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dane!$A$1:$O$25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5" l="1"/>
  <c r="K29" i="5"/>
  <c r="L29" i="5"/>
  <c r="G29" i="5"/>
  <c r="E2" i="5" l="1"/>
  <c r="D2" i="5"/>
  <c r="C2" i="5" l="1"/>
</calcChain>
</file>

<file path=xl/sharedStrings.xml><?xml version="1.0" encoding="utf-8"?>
<sst xmlns="http://schemas.openxmlformats.org/spreadsheetml/2006/main" count="572" uniqueCount="515">
  <si>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</si>
  <si>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</si>
  <si>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</si>
  <si>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</si>
  <si>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</si>
  <si>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</si>
  <si>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</si>
  <si>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</si>
  <si>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</si>
  <si>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</si>
  <si>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</si>
  <si>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</si>
  <si>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</si>
  <si>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</si>
  <si>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</si>
  <si>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</si>
  <si>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</si>
  <si>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</si>
  <si>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</si>
  <si>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</si>
  <si>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</si>
  <si>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</si>
  <si>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</si>
  <si>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</si>
  <si>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</si>
  <si>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</si>
  <si>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</si>
  <si>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</si>
  <si>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</si>
  <si>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</si>
  <si>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</si>
  <si>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</si>
  <si>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</si>
  <si>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</si>
  <si>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</si>
  <si>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</si>
  <si>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</si>
  <si>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</si>
  <si>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</si>
  <si>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</si>
  <si>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</si>
  <si>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</si>
  <si>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</si>
  <si>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</si>
  <si>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</si>
  <si>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</si>
  <si>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</si>
  <si>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</si>
  <si>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</si>
  <si>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</si>
  <si>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</si>
  <si>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</si>
  <si>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</si>
  <si>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</si>
  <si>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</si>
  <si>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</si>
  <si>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</si>
  <si>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</si>
  <si>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</si>
  <si>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</si>
  <si>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</si>
  <si>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</si>
  <si>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</si>
  <si>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</si>
  <si>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</si>
  <si>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</si>
  <si>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</si>
  <si>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</si>
  <si>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</si>
  <si>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</si>
  <si>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</si>
  <si>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</si>
  <si>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</si>
  <si>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</si>
  <si>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</si>
  <si>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</si>
  <si>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</si>
  <si>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</si>
  <si>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</si>
  <si>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</si>
  <si>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</si>
  <si>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</si>
  <si>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</si>
  <si>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</si>
  <si>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</si>
  <si>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</si>
  <si>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</si>
  <si>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</si>
  <si>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</si>
  <si>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</si>
  <si>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</si>
  <si>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</si>
  <si>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</si>
  <si>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</si>
  <si>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</si>
  <si>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</si>
  <si>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</si>
  <si>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</si>
  <si>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</si>
  <si>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</si>
  <si>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</si>
  <si>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</si>
  <si>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</si>
  <si>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</si>
  <si>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</si>
  <si>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</si>
  <si>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</si>
  <si>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</si>
  <si>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</si>
  <si>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</si>
  <si>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</si>
  <si>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</si>
  <si>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</si>
  <si>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</si>
  <si>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</si>
  <si>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</si>
  <si>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</si>
  <si>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</si>
  <si>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</si>
  <si>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</si>
  <si>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</si>
  <si>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</si>
  <si>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</si>
  <si>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</si>
  <si>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</si>
  <si>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</si>
  <si>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</si>
  <si>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</si>
  <si>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</si>
  <si>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</si>
  <si>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</si>
  <si>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</si>
  <si>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</si>
  <si>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</si>
  <si>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</si>
  <si>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</si>
  <si>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</si>
  <si>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</si>
  <si>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</si>
  <si>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</si>
  <si>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</si>
  <si>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</si>
  <si>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</si>
  <si>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</si>
  <si>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</si>
  <si>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</si>
  <si>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</si>
  <si>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</si>
  <si>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</si>
  <si>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</si>
  <si>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</si>
  <si>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</si>
  <si>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</si>
  <si>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</si>
  <si>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</si>
  <si>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</si>
  <si>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</si>
  <si>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</si>
  <si>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</si>
  <si>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</si>
  <si>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</si>
  <si>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</si>
  <si>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</si>
  <si>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</si>
  <si>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</si>
  <si>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</si>
  <si>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</si>
  <si>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</si>
  <si>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</si>
  <si>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</si>
  <si>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</si>
  <si>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</si>
  <si>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</si>
  <si>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</si>
  <si>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</si>
  <si>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</si>
  <si>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</si>
  <si>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</si>
  <si>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</si>
  <si>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</si>
  <si>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</si>
  <si>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</si>
  <si>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</si>
  <si>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</si>
  <si>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</si>
  <si>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</si>
  <si>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</si>
  <si>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</si>
  <si>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</si>
  <si>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</si>
  <si>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</si>
  <si>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</si>
  <si>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</si>
  <si>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</si>
  <si>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</si>
  <si>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</si>
  <si>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</si>
  <si>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</si>
  <si>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</si>
  <si>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</si>
  <si>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</si>
  <si>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</si>
  <si>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</si>
  <si>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</si>
  <si>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</si>
  <si>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</si>
  <si>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</si>
  <si>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</si>
  <si>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</si>
  <si>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</si>
  <si>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</si>
  <si>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</si>
  <si>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</si>
  <si>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</si>
  <si>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</si>
  <si>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</si>
  <si>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</si>
  <si>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</si>
  <si>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</si>
  <si>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</si>
  <si>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</si>
  <si>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</si>
  <si>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</si>
  <si>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</si>
  <si>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</si>
  <si>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</si>
  <si>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</si>
  <si>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</si>
  <si>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</si>
  <si>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</si>
  <si>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</si>
  <si>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</si>
  <si>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</si>
  <si>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</si>
  <si>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</si>
  <si>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</si>
  <si>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</si>
  <si>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</si>
  <si>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</si>
  <si>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</si>
  <si>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</si>
  <si>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</si>
  <si>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</si>
  <si>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</si>
  <si>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</si>
  <si>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</si>
  <si>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</si>
  <si>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</si>
  <si>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</si>
  <si>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</si>
  <si>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</si>
  <si>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</si>
  <si>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</si>
  <si>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</si>
  <si>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</si>
  <si>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</si>
  <si>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</si>
  <si>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</si>
  <si>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</si>
  <si>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</si>
  <si>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</si>
  <si>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</si>
  <si>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</si>
  <si>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</si>
  <si>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</si>
  <si>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</si>
  <si>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</si>
  <si>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</si>
  <si>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</si>
  <si>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</si>
  <si>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</si>
  <si>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</si>
  <si>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</si>
  <si>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</si>
  <si>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</si>
  <si>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</si>
  <si>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</si>
  <si>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</si>
  <si>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</si>
  <si>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</si>
  <si>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</si>
  <si>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</si>
  <si>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</si>
  <si>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</si>
  <si>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</si>
  <si>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</si>
  <si>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</si>
  <si>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</si>
  <si>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</si>
  <si>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</si>
  <si>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</si>
  <si>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</si>
  <si>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</si>
  <si>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</si>
  <si>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</si>
  <si>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</si>
  <si>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</si>
  <si>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</si>
  <si>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</si>
  <si>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</si>
  <si>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</si>
  <si>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</si>
  <si>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</si>
  <si>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</si>
  <si>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</si>
  <si>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</si>
  <si>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</si>
  <si>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</si>
  <si>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</si>
  <si>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</si>
  <si>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</si>
  <si>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</si>
  <si>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</si>
  <si>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</si>
  <si>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</si>
  <si>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</si>
  <si>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</si>
  <si>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</si>
  <si>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</si>
  <si>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</si>
  <si>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</si>
  <si>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</si>
  <si>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</si>
  <si>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</si>
  <si>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</si>
  <si>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</si>
  <si>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</si>
  <si>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</si>
  <si>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</si>
  <si>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</si>
  <si>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</si>
  <si>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</si>
  <si>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</si>
  <si>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</si>
  <si>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</si>
  <si>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</si>
  <si>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</si>
  <si>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</si>
  <si>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</si>
  <si>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</si>
  <si>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</si>
  <si>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</si>
  <si>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</si>
  <si>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</si>
  <si>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</si>
  <si>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</si>
  <si>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</si>
  <si>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</si>
  <si>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</si>
  <si>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</si>
  <si>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</si>
  <si>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</si>
  <si>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</si>
  <si>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</si>
  <si>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</si>
  <si>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</si>
  <si>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</si>
  <si>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</si>
  <si>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</si>
  <si>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</si>
  <si>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</si>
  <si>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</si>
  <si>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</si>
  <si>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</si>
  <si>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</si>
  <si>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</si>
  <si>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</si>
  <si>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</si>
  <si>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</si>
  <si>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</si>
  <si>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</si>
  <si>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</si>
  <si>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</si>
  <si>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</si>
  <si>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</si>
  <si>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</si>
  <si>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</si>
  <si>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</si>
  <si>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</si>
  <si>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</si>
  <si>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</si>
  <si>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</si>
  <si>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</si>
  <si>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</si>
  <si>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</si>
  <si>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</si>
  <si>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</si>
  <si>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</si>
  <si>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</si>
  <si>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</si>
  <si>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</si>
  <si>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</si>
  <si>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</si>
  <si>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</si>
  <si>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</si>
  <si>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</si>
  <si>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</si>
  <si>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</si>
  <si>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</si>
  <si>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</si>
  <si>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</si>
  <si>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</si>
  <si>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</si>
  <si>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</si>
  <si>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</si>
  <si>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</si>
  <si>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</si>
  <si>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</si>
  <si>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</si>
  <si>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</si>
  <si>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</si>
  <si>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</si>
  <si>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</si>
  <si>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</si>
  <si>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</si>
  <si>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</si>
  <si>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</si>
  <si>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</si>
  <si>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</si>
  <si>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</si>
  <si>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</si>
  <si>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</si>
  <si>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</si>
  <si>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</si>
  <si>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</si>
  <si>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</si>
  <si>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</si>
  <si>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</si>
  <si>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</si>
  <si>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</si>
  <si>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</si>
  <si>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</si>
  <si>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</si>
  <si>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</si>
  <si>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</si>
  <si>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</si>
  <si>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</si>
  <si>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</si>
  <si>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</si>
  <si>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</si>
  <si>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</si>
  <si>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</si>
  <si>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</si>
  <si>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</si>
  <si>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</si>
  <si>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</si>
  <si>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</si>
  <si>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</si>
  <si>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</si>
  <si>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Hubert Samul</t>
  </si>
  <si>
    <t>48 22 578 44 17</t>
  </si>
  <si>
    <t>h.samul@wup.mazowsze.pl</t>
  </si>
  <si>
    <t>nie</t>
  </si>
  <si>
    <t>tak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</si>
  <si>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</si>
  <si>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</si>
  <si>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</si>
  <si>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t>6619Z</t>
  </si>
  <si>
    <t xml:space="preserve">Citibank Europe plc                                 Oddział w Polsce                                               ul. Prosta 36                                                         00-838 Warszawa                 </t>
  </si>
  <si>
    <t>1413Z</t>
  </si>
  <si>
    <t>Levi Strauss Poland Sp. z o.o.</t>
  </si>
  <si>
    <t xml:space="preserve">nie </t>
  </si>
  <si>
    <t>6201Z</t>
  </si>
  <si>
    <t>Kubara Lamina S.A</t>
  </si>
  <si>
    <t>26.11</t>
  </si>
  <si>
    <t xml:space="preserve">30.11.24 </t>
  </si>
  <si>
    <t>04.10.2024</t>
  </si>
  <si>
    <t>LOGWIN POLAND SP Z O.O.</t>
  </si>
  <si>
    <t>52.29</t>
  </si>
  <si>
    <t>07.11-31.12.2024</t>
  </si>
  <si>
    <t>spotkanie informacyjne z pracownikami urzędu pracy, działania w zakresie pośrednictwa pracy i poradnictwa zawodowego.</t>
  </si>
  <si>
    <t>07.11.-31.12.2024</t>
  </si>
  <si>
    <t>28.10.2024</t>
  </si>
  <si>
    <t>05-04-2024</t>
  </si>
  <si>
    <t>mazowieckie</t>
  </si>
  <si>
    <t>"AIS WSI EUROPE" SPÓŁKA Z OGRANICZONĄ ODPOWIEDZIALNOŚCIĄ</t>
  </si>
  <si>
    <t>67299954600000</t>
  </si>
  <si>
    <t>2561Z</t>
  </si>
  <si>
    <t>od 01.10.2024 do 31.10.2024</t>
  </si>
  <si>
    <t>MAGAR SPÓŁKA Z OGRANICZONĄ ODPOWIEDZIALNOŚCIĄ</t>
  </si>
  <si>
    <t>67271456100000</t>
  </si>
  <si>
    <t>1511Z</t>
  </si>
  <si>
    <t>SOLBIKA SP. Z O.O.</t>
  </si>
  <si>
    <t>14156173000000</t>
  </si>
  <si>
    <t>2313Z</t>
  </si>
  <si>
    <t>od 28.02.2024 do 27.02.2025</t>
  </si>
  <si>
    <t>CENTRUM CYBERBEZPIECZEŃSTWA                 W LIKWIDACJI                                         ul. Czerniakowska 100, 01-454 Warszawa</t>
  </si>
  <si>
    <t>10-12.2024</t>
  </si>
  <si>
    <t>Shell Polska Sp. zo.o.                      ul. Bitwy Warszawskiej 1920r.7a,                                       02-366 Warszawa</t>
  </si>
  <si>
    <t>4730Z</t>
  </si>
  <si>
    <t>10.2024-03.2025</t>
  </si>
  <si>
    <t>Unilever Polska Sp. z o.o.               ul. Al. Jerozolimskie 134, 02-305 Warszawa</t>
  </si>
  <si>
    <t>4638 Z</t>
  </si>
  <si>
    <t>10-11.2024</t>
  </si>
  <si>
    <t xml:space="preserve">Pracodawca poinformował, że we własnym zakresie  zrealizuje usługę outplacementu </t>
  </si>
  <si>
    <t>LINETECH S.A.                                 ul. Armii Ludowej 26, 00-609 Warszawa</t>
  </si>
  <si>
    <t>3316Z</t>
  </si>
  <si>
    <t>FRIDAY TECHNOLOGY SPÓŁKA Z OGRANICZONĄ ODPOWIEDZIALNOŚCIĄ                ul. Prosta 20, 00-850 Warszawa</t>
  </si>
  <si>
    <t>10.2024-04.2026</t>
  </si>
  <si>
    <t>Oriflame Poland Sp. z o.o.                           ul.Wołowska 22                                                            02-675 Warszawa</t>
  </si>
  <si>
    <t>4645Z</t>
  </si>
  <si>
    <t>BNP PARIBAS BANK POLSKA SPÓŁKA AKCYJNA                               ul. M.Kasprzaka 2 01-211 Warszawa</t>
  </si>
  <si>
    <t>6419Z</t>
  </si>
  <si>
    <t>Nokia Solutions and Networks                                                                                               Sp. z o.o.                                                                                                                               ul. Rodziny Hiszpańskich 8                                                                                               02-685 Warszawa</t>
  </si>
  <si>
    <t>6120Z</t>
  </si>
  <si>
    <t>National Westminster Bank PLC                                                                                 Spółka Akcyjna Oddział w Polsce                                                                                                       ul. Iłżecka 26                                                                                                                     02-135 Warszawa</t>
  </si>
  <si>
    <t>EVIDENT EUROPE GMBH Sp. z o.o. Oddział w Polsce                               ul. Postępu 21B,02-676 Warszawa</t>
  </si>
  <si>
    <t>4669Z</t>
  </si>
  <si>
    <t xml:space="preserve"> FlaktGroup Poland Sp z o.o.</t>
  </si>
  <si>
    <t>011208114</t>
  </si>
  <si>
    <t>2825Z</t>
  </si>
  <si>
    <t>WOŁOMIŃSKI</t>
  </si>
  <si>
    <t>TERMISIL GLASS SP. Z O. O.</t>
  </si>
  <si>
    <t>18.10.2024 r. - 31.01.2025 r.</t>
  </si>
  <si>
    <t xml:space="preserve"> 18.10.2024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</si>
</sst>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15]General"/>
    <numFmt numFmtId="165" formatCode="#,##0.00&quot; &quot;[$zł-415];[Red]&quot;-&quot;#,##0.00&quot; &quot;[$zł-415]"/>
    <numFmt numFmtId="166" formatCode="yyyy/mm/dd"/>
  </numFmts>
  <fonts count="30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u/>
      <sz val="10"/>
      <color theme="10"/>
      <name val="Arial"/>
      <family val="2"/>
      <charset val="238"/>
    </font>
    <font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1"/>
      <color rgb="FF000000"/>
      <name val="Arial"/>
      <family val="2"/>
      <charset val="238"/>
    </font>
    <font>
      <b/>
      <i/>
      <sz val="16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i/>
      <u/>
      <sz val="11"/>
      <color rgb="FF000000"/>
      <name val="Arial"/>
      <family val="2"/>
      <charset val="238"/>
    </font>
    <font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rgb="FF000000"/>
      <name val="Arial"/>
      <family val="2"/>
      <charset val="238"/>
    </font>
    <font>
      <u/>
      <sz val="10"/>
      <color theme="10"/>
      <name val="Arial"/>
      <charset val="238"/>
    </font>
    <font>
      <sz val="10"/>
      <color rgb="FF000000"/>
      <name val="Arial"/>
    </font>
    <font>
      <sz val="11"/>
      <color rgb="FF4D5156"/>
      <name val="Arial"/>
      <family val="2"/>
      <charset val="238"/>
    </font>
    <font>
      <sz val="11"/>
      <color rgb="FF3E3D40"/>
      <name val="Arial"/>
      <family val="2"/>
      <charset val="238"/>
    </font>
    <font>
      <sz val="12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5050"/>
        <bgColor rgb="FFFF505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6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2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7" fillId="0" borderId="0"/>
    <xf numFmtId="0" fontId="17" fillId="4" borderId="0" applyNumberFormat="0" applyFont="0" applyBorder="0" applyAlignment="0" applyProtection="0"/>
    <xf numFmtId="0" fontId="17" fillId="4" borderId="0" applyNumberFormat="0" applyFont="0" applyBorder="0" applyProtection="0"/>
    <xf numFmtId="0" fontId="18" fillId="0" borderId="0" applyNumberFormat="0" applyBorder="0" applyProtection="0">
      <alignment horizontal="center"/>
    </xf>
    <xf numFmtId="0" fontId="18" fillId="0" borderId="0" applyNumberFormat="0" applyBorder="0" applyProtection="0">
      <alignment horizontal="center" textRotation="90"/>
    </xf>
    <xf numFmtId="164" fontId="19" fillId="0" borderId="0" applyBorder="0" applyProtection="0"/>
    <xf numFmtId="0" fontId="20" fillId="0" borderId="0" applyNumberFormat="0" applyBorder="0" applyProtection="0"/>
    <xf numFmtId="165" fontId="20" fillId="0" borderId="0" applyBorder="0" applyProtection="0"/>
    <xf numFmtId="43" fontId="1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43" fontId="21" fillId="0" borderId="0" applyFont="0" applyFill="0" applyBorder="0" applyAlignment="0" applyProtection="0"/>
    <xf numFmtId="0" fontId="24" fillId="0" borderId="0"/>
    <xf numFmtId="164" fontId="15" fillId="0" borderId="0" applyBorder="0" applyProtection="0"/>
    <xf numFmtId="0" fontId="25" fillId="0" borderId="0" applyNumberFormat="0" applyFill="0" applyBorder="0" applyAlignment="0" applyProtection="0"/>
    <xf numFmtId="0" fontId="26" fillId="0" borderId="0"/>
    <xf numFmtId="0" fontId="2" fillId="0" borderId="0"/>
  </cellStyleXfs>
  <cellXfs count="99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3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23" fillId="0" borderId="1" xfId="24" applyNumberFormat="1" applyFont="1" applyBorder="1" applyAlignment="1">
      <alignment horizontal="center" vertical="center"/>
    </xf>
    <xf numFmtId="0" fontId="23" fillId="0" borderId="15" xfId="24" applyFont="1" applyFill="1" applyBorder="1" applyAlignment="1">
      <alignment horizontal="center" vertical="center"/>
    </xf>
    <xf numFmtId="166" fontId="23" fillId="0" borderId="15" xfId="24" applyNumberFormat="1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3" fillId="0" borderId="18" xfId="24" applyFont="1" applyBorder="1" applyAlignment="1">
      <alignment horizontal="center" vertical="center"/>
    </xf>
    <xf numFmtId="49" fontId="23" fillId="0" borderId="18" xfId="24" applyNumberFormat="1" applyFont="1" applyBorder="1" applyAlignment="1">
      <alignment horizontal="center" vertical="center"/>
    </xf>
    <xf numFmtId="166" fontId="23" fillId="0" borderId="18" xfId="24" applyNumberFormat="1" applyFont="1" applyBorder="1" applyAlignment="1">
      <alignment horizontal="center" vertical="center"/>
    </xf>
    <xf numFmtId="0" fontId="23" fillId="0" borderId="17" xfId="24" applyFont="1" applyBorder="1" applyAlignment="1">
      <alignment horizontal="center" vertical="center"/>
    </xf>
    <xf numFmtId="14" fontId="23" fillId="0" borderId="18" xfId="24" applyNumberFormat="1" applyFont="1" applyBorder="1" applyAlignment="1">
      <alignment horizontal="center" vertical="center"/>
    </xf>
    <xf numFmtId="0" fontId="15" fillId="0" borderId="1" xfId="24" applyFont="1" applyBorder="1" applyAlignment="1">
      <alignment horizontal="center" vertical="center"/>
    </xf>
    <xf numFmtId="0" fontId="23" fillId="0" borderId="1" xfId="24" applyFont="1" applyBorder="1" applyAlignment="1">
      <alignment horizontal="center" vertical="center"/>
    </xf>
    <xf numFmtId="14" fontId="15" fillId="0" borderId="1" xfId="24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49" fontId="23" fillId="0" borderId="15" xfId="24" applyNumberFormat="1" applyFont="1" applyFill="1" applyBorder="1" applyAlignment="1">
      <alignment horizontal="center" vertical="center"/>
    </xf>
    <xf numFmtId="0" fontId="23" fillId="0" borderId="16" xfId="24" applyFont="1" applyFill="1" applyBorder="1" applyAlignment="1">
      <alignment horizontal="center" vertical="center"/>
    </xf>
    <xf numFmtId="14" fontId="23" fillId="0" borderId="15" xfId="24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</cellXfs>
  <cellStyles count="26">
    <cellStyle name="cf1" xfId="11" xr:uid="{AA7A6DA0-0093-426D-A699-1195BFB3BF9B}"/>
    <cellStyle name="ConditionalStyle_1" xfId="12" xr:uid="{A3273840-DC2D-47EA-875E-4B2DE94B84D9}"/>
    <cellStyle name="Dziesiętny 2" xfId="6" xr:uid="{95F2F834-C8AF-4CFA-9632-7EC5FFBFCA5F}"/>
    <cellStyle name="Dziesiętny 3" xfId="7" xr:uid="{7D479643-D454-49EC-94B9-070247605B79}"/>
    <cellStyle name="Dziesiętny 4" xfId="18" xr:uid="{38B67BDC-1342-443F-8CF5-E69BBC6D277E}"/>
    <cellStyle name="Dziesiętny 5" xfId="20" xr:uid="{27497266-D830-410F-84E0-BF111E30C97A}"/>
    <cellStyle name="Excel Built-in Normal" xfId="4" xr:uid="{00000000-0005-0000-0000-000000000000}"/>
    <cellStyle name="Heading" xfId="13" xr:uid="{8FD49449-249C-40A2-B5BC-0348E9D196D2}"/>
    <cellStyle name="Heading1" xfId="14" xr:uid="{B1D612FF-9772-4248-8E9B-98C931D4B95C}"/>
    <cellStyle name="Hiperłącze" xfId="2" builtinId="8"/>
    <cellStyle name="Hiperłącze 2" xfId="3" xr:uid="{00000000-0005-0000-0000-000002000000}"/>
    <cellStyle name="Hiperłącze 3" xfId="5" xr:uid="{4C6CD572-F96E-416C-95D9-16F1550FE079}"/>
    <cellStyle name="Hiperłącze 4" xfId="8" xr:uid="{DBAC3570-FE12-48AA-9D1D-57A002FB5016}"/>
    <cellStyle name="Hiperłącze 5" xfId="19" xr:uid="{4CF43F06-1745-44DE-A45F-79BEF3DA3CB6}"/>
    <cellStyle name="Hiperłącze 6" xfId="23" xr:uid="{D5DBC958-5D59-40E0-A2FE-806955E8CCD5}"/>
    <cellStyle name="Normalny" xfId="0" builtinId="0"/>
    <cellStyle name="Normalny 2" xfId="1" xr:uid="{00000000-0005-0000-0000-000004000000}"/>
    <cellStyle name="Normalny 2 2" xfId="15" xr:uid="{B98047FA-D127-4765-903D-EA40A4F2E65C}"/>
    <cellStyle name="Normalny 2 3" xfId="22" xr:uid="{97798B86-E25A-4F87-A97B-3C9218C919E6}"/>
    <cellStyle name="Normalny 3" xfId="9" xr:uid="{8A5988CB-BBF9-435C-BF6D-3EAB49A0F372}"/>
    <cellStyle name="Normalny 3 2" xfId="25" xr:uid="{DA343BAE-EE55-41B0-8AAB-3EAB80CD520E}"/>
    <cellStyle name="Normalny 4" xfId="10" xr:uid="{1F413BD6-3A7A-46D6-ABF3-AE48C92DCFA6}"/>
    <cellStyle name="Normalny 5" xfId="21" xr:uid="{4D803DC8-74B2-44E7-A647-D6007EE348BB}"/>
    <cellStyle name="Normalny 6" xfId="24" xr:uid="{77CA489C-7CEA-4534-BC72-8FFD132486E2}"/>
    <cellStyle name="Result" xfId="16" xr:uid="{36AE28E8-3783-477E-ACBE-BAE00EAAA640}"/>
    <cellStyle name="Result2" xfId="17" xr:uid="{49A07EA4-EF9F-405F-A4E6-FEC2700AA314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156846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topLeftCell="A4" zoomScale="75" zoomScaleNormal="75" workbookViewId="0">
      <selection activeCell="A8" sqref="A7:A8"/>
    </sheetView>
  </sheetViews>
  <sheetFormatPr defaultRowHeight="12.5"/>
  <cols>
    <col min="2" max="2" width="6.81640625" customWidth="1"/>
    <col min="3" max="3" width="34.81640625" customWidth="1"/>
    <col min="4" max="4" width="45.81640625" customWidth="1"/>
    <col min="5" max="5" width="37.453125" customWidth="1"/>
    <col min="6" max="6" width="30.54296875" customWidth="1"/>
    <col min="7" max="7" width="28.54296875" customWidth="1"/>
  </cols>
  <sheetData>
    <row r="2" spans="3:7" ht="15.5">
      <c r="C2" s="11" t="s">
        <v>436</v>
      </c>
    </row>
    <row r="4" spans="3:7" ht="15.5">
      <c r="C4" s="11" t="s">
        <v>263</v>
      </c>
    </row>
    <row r="5" spans="3:7" ht="13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290</v>
      </c>
      <c r="E7" s="10"/>
    </row>
    <row r="8" spans="3:7" ht="38.25" customHeight="1" thickBot="1">
      <c r="C8" s="12" t="s">
        <v>293</v>
      </c>
      <c r="D8" s="16">
        <v>2024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449</v>
      </c>
      <c r="E13" s="27" t="s">
        <v>451</v>
      </c>
      <c r="F13" s="28" t="s">
        <v>450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 ht="13">
      <c r="C20" s="21" t="s">
        <v>279</v>
      </c>
    </row>
    <row r="22" spans="3:6">
      <c r="C22" s="92" t="s">
        <v>438</v>
      </c>
      <c r="D22" s="19"/>
    </row>
    <row r="23" spans="3:6" ht="26">
      <c r="C23" s="92"/>
      <c r="D23" s="20" t="s">
        <v>280</v>
      </c>
    </row>
    <row r="24" spans="3:6" ht="28.5" customHeight="1">
      <c r="C24" s="92"/>
    </row>
    <row r="25" spans="3:6">
      <c r="C25" s="22"/>
    </row>
    <row r="26" spans="3:6">
      <c r="C26" s="92" t="s">
        <v>439</v>
      </c>
    </row>
    <row r="27" spans="3:6">
      <c r="C27" s="92"/>
    </row>
    <row r="28" spans="3:6" ht="23.25" customHeight="1">
      <c r="C28" s="92"/>
    </row>
    <row r="29" spans="3:6">
      <c r="C29" s="22"/>
    </row>
    <row r="30" spans="3:6" ht="12.75" customHeight="1">
      <c r="C30" s="92" t="s">
        <v>440</v>
      </c>
    </row>
    <row r="31" spans="3:6" ht="12.75" customHeight="1">
      <c r="C31" s="92"/>
    </row>
    <row r="32" spans="3:6" ht="21.75" customHeight="1">
      <c r="C32" s="92"/>
    </row>
    <row r="33" spans="3:3" ht="14.25" customHeight="1">
      <c r="C33" s="92"/>
    </row>
    <row r="34" spans="3:3">
      <c r="C34" s="92"/>
    </row>
    <row r="35" spans="3:3">
      <c r="C35" s="92"/>
    </row>
    <row r="37" spans="3:3" ht="12.75" customHeight="1">
      <c r="C37" s="92" t="s">
        <v>448</v>
      </c>
    </row>
    <row r="38" spans="3:3" ht="12.75" customHeight="1">
      <c r="C38" s="92"/>
    </row>
    <row r="39" spans="3:3" ht="19.5" customHeight="1">
      <c r="C39" s="92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101"/>
  <sheetViews>
    <sheetView tabSelected="1" zoomScale="80" zoomScaleNormal="80" zoomScaleSheetLayoutView="100" workbookViewId="0">
      <selection activeCell="L9" sqref="L9"/>
    </sheetView>
  </sheetViews>
  <sheetFormatPr defaultColWidth="9.1796875" defaultRowHeight="90.75" customHeight="1"/>
  <cols>
    <col min="1" max="1" width="1.81640625" style="29" customWidth="1"/>
    <col min="2" max="3" width="21.54296875" style="30" customWidth="1"/>
    <col min="4" max="4" width="40" style="30" customWidth="1"/>
    <col min="5" max="5" width="25.54296875" style="40" customWidth="1"/>
    <col min="6" max="6" width="13.1796875" style="38" customWidth="1"/>
    <col min="7" max="7" width="14.453125" style="30" customWidth="1"/>
    <col min="8" max="8" width="29.1796875" style="30" customWidth="1"/>
    <col min="9" max="9" width="17.26953125" style="43" customWidth="1"/>
    <col min="10" max="10" width="14.453125" style="30" customWidth="1"/>
    <col min="11" max="11" width="26.7265625" style="43" customWidth="1"/>
    <col min="12" max="12" width="16.81640625" style="30" customWidth="1"/>
    <col min="13" max="13" width="24.81640625" style="30" customWidth="1"/>
    <col min="14" max="14" width="17.7265625" style="30" customWidth="1"/>
    <col min="15" max="15" width="23.7265625" style="30" customWidth="1"/>
    <col min="16" max="16" width="34.81640625" style="29" customWidth="1"/>
    <col min="17" max="16384" width="9.1796875" style="29"/>
  </cols>
  <sheetData>
    <row r="1" spans="2:15" ht="20.149999999999999" customHeight="1">
      <c r="D1" s="31"/>
      <c r="F1" s="39"/>
    </row>
    <row r="2" spans="2:15" ht="20.149999999999999" customHeight="1">
      <c r="B2" s="36" t="s">
        <v>2</v>
      </c>
      <c r="C2" s="32" t="str">
        <f>'Dane podstawowe'!$D$6</f>
        <v>MAZOWIECKIE</v>
      </c>
      <c r="D2" s="33" t="str">
        <f>'Dane podstawowe'!D7</f>
        <v xml:space="preserve">Październik </v>
      </c>
      <c r="E2" s="41">
        <f>'Dane podstawowe'!D8</f>
        <v>2024</v>
      </c>
      <c r="F2" s="37"/>
      <c r="G2" s="31"/>
      <c r="H2" s="31"/>
      <c r="I2" s="44"/>
    </row>
    <row r="3" spans="2:15" ht="20.149999999999999" customHeight="1">
      <c r="E3" s="42"/>
    </row>
    <row r="4" spans="2:15" ht="20.149999999999999" customHeight="1">
      <c r="B4" s="93" t="s">
        <v>430</v>
      </c>
      <c r="C4" s="93"/>
      <c r="D4" s="94"/>
      <c r="E4" s="42"/>
    </row>
    <row r="5" spans="2:15" ht="20.149999999999999" customHeight="1">
      <c r="B5" s="49"/>
      <c r="C5" s="49"/>
      <c r="D5" s="50"/>
      <c r="E5" s="42"/>
    </row>
    <row r="6" spans="2:15" ht="90.75" customHeight="1">
      <c r="B6" s="95" t="s">
        <v>444</v>
      </c>
      <c r="C6" s="95"/>
      <c r="D6" s="95"/>
      <c r="E6" s="95"/>
      <c r="F6" s="95"/>
      <c r="G6" s="96" t="s">
        <v>446</v>
      </c>
      <c r="H6" s="97"/>
      <c r="I6" s="97"/>
      <c r="J6" s="98"/>
      <c r="K6" s="51" t="s">
        <v>447</v>
      </c>
      <c r="L6" s="95" t="s">
        <v>445</v>
      </c>
      <c r="M6" s="95"/>
      <c r="N6" s="95"/>
      <c r="O6" s="34"/>
    </row>
    <row r="7" spans="2:15" s="47" customFormat="1" ht="90.75" customHeight="1">
      <c r="B7" s="74" t="s">
        <v>1</v>
      </c>
      <c r="C7" s="74" t="s">
        <v>428</v>
      </c>
      <c r="D7" s="74" t="s">
        <v>0</v>
      </c>
      <c r="E7" s="46" t="s">
        <v>454</v>
      </c>
      <c r="F7" s="74" t="s">
        <v>455</v>
      </c>
      <c r="G7" s="74" t="s">
        <v>432</v>
      </c>
      <c r="H7" s="74" t="s">
        <v>435</v>
      </c>
      <c r="I7" s="74" t="s">
        <v>433</v>
      </c>
      <c r="J7" s="74" t="s">
        <v>434</v>
      </c>
      <c r="K7" s="74" t="s">
        <v>431</v>
      </c>
      <c r="L7" s="74" t="s">
        <v>442</v>
      </c>
      <c r="M7" s="74" t="s">
        <v>441</v>
      </c>
      <c r="N7" s="74" t="s">
        <v>443</v>
      </c>
      <c r="O7" s="74" t="s">
        <v>456</v>
      </c>
    </row>
    <row r="8" spans="2:15" ht="44.5" customHeight="1">
      <c r="B8" s="71" t="s">
        <v>68</v>
      </c>
      <c r="C8" s="71" t="s">
        <v>269</v>
      </c>
      <c r="D8" s="52" t="s">
        <v>463</v>
      </c>
      <c r="E8" s="75">
        <v>890560994</v>
      </c>
      <c r="F8" s="76" t="s">
        <v>464</v>
      </c>
      <c r="G8" s="54">
        <v>42</v>
      </c>
      <c r="H8" s="53" t="s">
        <v>465</v>
      </c>
      <c r="I8" s="54"/>
      <c r="J8" s="54" t="s">
        <v>452</v>
      </c>
      <c r="K8" s="54"/>
      <c r="L8" s="77">
        <v>42</v>
      </c>
      <c r="M8" s="77"/>
      <c r="N8" s="77">
        <v>0</v>
      </c>
      <c r="O8" s="55" t="s">
        <v>466</v>
      </c>
    </row>
    <row r="9" spans="2:15" s="56" customFormat="1" ht="44.5" customHeight="1">
      <c r="B9" s="71" t="s">
        <v>68</v>
      </c>
      <c r="C9" s="71" t="s">
        <v>269</v>
      </c>
      <c r="D9" s="71" t="s">
        <v>467</v>
      </c>
      <c r="E9" s="71">
        <v>15518811</v>
      </c>
      <c r="F9" s="71" t="s">
        <v>468</v>
      </c>
      <c r="G9" s="71">
        <v>125</v>
      </c>
      <c r="H9" s="71" t="s">
        <v>469</v>
      </c>
      <c r="I9" s="71"/>
      <c r="J9" s="71" t="s">
        <v>452</v>
      </c>
      <c r="K9" s="71"/>
      <c r="L9" s="71">
        <v>125</v>
      </c>
      <c r="M9" s="67" t="s">
        <v>470</v>
      </c>
      <c r="N9" s="71" t="s">
        <v>471</v>
      </c>
      <c r="O9" s="71" t="s">
        <v>472</v>
      </c>
    </row>
    <row r="10" spans="2:15" s="30" customFormat="1" ht="44.5" customHeight="1">
      <c r="B10" s="71" t="s">
        <v>88</v>
      </c>
      <c r="C10" s="71" t="s">
        <v>269</v>
      </c>
      <c r="D10" s="71" t="s">
        <v>460</v>
      </c>
      <c r="E10" s="78">
        <v>610001881</v>
      </c>
      <c r="F10" s="71" t="s">
        <v>459</v>
      </c>
      <c r="G10" s="72"/>
      <c r="H10" s="68"/>
      <c r="I10" s="72"/>
      <c r="J10" s="72"/>
      <c r="K10" s="72">
        <v>1</v>
      </c>
      <c r="L10" s="72"/>
      <c r="M10" s="72"/>
      <c r="N10" s="72"/>
      <c r="O10" s="69" t="s">
        <v>473</v>
      </c>
    </row>
    <row r="11" spans="2:15" ht="44.5" customHeight="1">
      <c r="B11" s="79" t="s">
        <v>89</v>
      </c>
      <c r="C11" s="79" t="s">
        <v>474</v>
      </c>
      <c r="D11" s="79" t="s">
        <v>475</v>
      </c>
      <c r="E11" s="80" t="s">
        <v>476</v>
      </c>
      <c r="F11" s="79" t="s">
        <v>477</v>
      </c>
      <c r="G11" s="79">
        <v>56</v>
      </c>
      <c r="H11" s="81" t="s">
        <v>478</v>
      </c>
      <c r="I11" s="82">
        <v>0</v>
      </c>
      <c r="J11" s="82" t="s">
        <v>452</v>
      </c>
      <c r="K11" s="82">
        <v>56</v>
      </c>
      <c r="L11" s="82">
        <v>0</v>
      </c>
      <c r="M11" s="82"/>
      <c r="N11" s="82"/>
      <c r="O11" s="83">
        <v>45567</v>
      </c>
    </row>
    <row r="12" spans="2:15" ht="44.5" customHeight="1">
      <c r="B12" s="84" t="s">
        <v>89</v>
      </c>
      <c r="C12" s="84" t="s">
        <v>474</v>
      </c>
      <c r="D12" s="84" t="s">
        <v>479</v>
      </c>
      <c r="E12" s="57" t="s">
        <v>480</v>
      </c>
      <c r="F12" s="85" t="s">
        <v>481</v>
      </c>
      <c r="G12" s="84">
        <v>14</v>
      </c>
      <c r="H12" s="84"/>
      <c r="I12" s="85">
        <v>0</v>
      </c>
      <c r="J12" s="85" t="s">
        <v>452</v>
      </c>
      <c r="K12" s="84">
        <v>14</v>
      </c>
      <c r="L12" s="84">
        <v>0</v>
      </c>
      <c r="M12" s="84"/>
      <c r="N12" s="84"/>
      <c r="O12" s="86">
        <v>45569</v>
      </c>
    </row>
    <row r="13" spans="2:15" s="91" customFormat="1" ht="44.5" customHeight="1">
      <c r="B13" s="58" t="s">
        <v>75</v>
      </c>
      <c r="C13" s="58" t="s">
        <v>474</v>
      </c>
      <c r="D13" s="58" t="s">
        <v>482</v>
      </c>
      <c r="E13" s="88" t="s">
        <v>483</v>
      </c>
      <c r="F13" s="58" t="s">
        <v>484</v>
      </c>
      <c r="G13" s="58">
        <v>0</v>
      </c>
      <c r="H13" s="59" t="s">
        <v>485</v>
      </c>
      <c r="I13" s="89">
        <v>0</v>
      </c>
      <c r="J13" s="89" t="s">
        <v>452</v>
      </c>
      <c r="K13" s="89">
        <v>18</v>
      </c>
      <c r="L13" s="89">
        <v>0</v>
      </c>
      <c r="M13" s="89"/>
      <c r="N13" s="89"/>
      <c r="O13" s="90">
        <v>45572</v>
      </c>
    </row>
    <row r="14" spans="2:15" ht="44.5" customHeight="1">
      <c r="B14" s="61" t="s">
        <v>91</v>
      </c>
      <c r="C14" s="61" t="s">
        <v>269</v>
      </c>
      <c r="D14" s="64" t="s">
        <v>486</v>
      </c>
      <c r="E14" s="65">
        <v>520343430</v>
      </c>
      <c r="F14" s="62" t="s">
        <v>462</v>
      </c>
      <c r="G14" s="62">
        <v>23</v>
      </c>
      <c r="H14" s="66" t="s">
        <v>487</v>
      </c>
      <c r="I14" s="62">
        <v>0</v>
      </c>
      <c r="J14" s="62" t="s">
        <v>453</v>
      </c>
      <c r="K14" s="62"/>
      <c r="L14" s="62"/>
      <c r="M14" s="62"/>
      <c r="N14" s="62"/>
      <c r="O14" s="63">
        <v>45569</v>
      </c>
    </row>
    <row r="15" spans="2:15" ht="44.5" customHeight="1">
      <c r="B15" s="61" t="s">
        <v>91</v>
      </c>
      <c r="C15" s="61" t="s">
        <v>269</v>
      </c>
      <c r="D15" s="64" t="s">
        <v>488</v>
      </c>
      <c r="E15" s="65">
        <v>520216329</v>
      </c>
      <c r="F15" s="62" t="s">
        <v>489</v>
      </c>
      <c r="G15" s="62">
        <v>40</v>
      </c>
      <c r="H15" s="66" t="s">
        <v>490</v>
      </c>
      <c r="I15" s="62">
        <v>0</v>
      </c>
      <c r="J15" s="62" t="s">
        <v>461</v>
      </c>
      <c r="K15" s="62"/>
      <c r="L15" s="62"/>
      <c r="M15" s="62"/>
      <c r="N15" s="62"/>
      <c r="O15" s="63">
        <v>45568</v>
      </c>
    </row>
    <row r="16" spans="2:15" ht="44.5" customHeight="1">
      <c r="B16" s="61" t="s">
        <v>91</v>
      </c>
      <c r="C16" s="61" t="s">
        <v>269</v>
      </c>
      <c r="D16" s="64" t="s">
        <v>491</v>
      </c>
      <c r="E16" s="65">
        <v>140566233</v>
      </c>
      <c r="F16" s="62" t="s">
        <v>492</v>
      </c>
      <c r="G16" s="62">
        <v>116</v>
      </c>
      <c r="H16" s="66" t="s">
        <v>493</v>
      </c>
      <c r="I16" s="62">
        <v>0</v>
      </c>
      <c r="J16" s="62" t="s">
        <v>461</v>
      </c>
      <c r="K16" s="62"/>
      <c r="L16" s="62">
        <v>116</v>
      </c>
      <c r="M16" s="62" t="s">
        <v>494</v>
      </c>
      <c r="N16" s="66" t="s">
        <v>493</v>
      </c>
      <c r="O16" s="63">
        <v>45574</v>
      </c>
    </row>
    <row r="17" spans="2:16" ht="44.5" customHeight="1">
      <c r="B17" s="61" t="s">
        <v>91</v>
      </c>
      <c r="C17" s="61" t="s">
        <v>269</v>
      </c>
      <c r="D17" s="64" t="s">
        <v>495</v>
      </c>
      <c r="E17" s="65">
        <v>142084478</v>
      </c>
      <c r="F17" s="62" t="s">
        <v>496</v>
      </c>
      <c r="G17" s="62">
        <v>46</v>
      </c>
      <c r="H17" s="66" t="s">
        <v>493</v>
      </c>
      <c r="I17" s="62">
        <v>0</v>
      </c>
      <c r="J17" s="62" t="s">
        <v>461</v>
      </c>
      <c r="K17" s="62"/>
      <c r="L17" s="62"/>
      <c r="M17" s="62"/>
      <c r="N17" s="62"/>
      <c r="O17" s="63">
        <v>45595</v>
      </c>
    </row>
    <row r="18" spans="2:16" ht="44.5" customHeight="1">
      <c r="B18" s="61" t="s">
        <v>91</v>
      </c>
      <c r="C18" s="61" t="s">
        <v>269</v>
      </c>
      <c r="D18" s="64" t="s">
        <v>497</v>
      </c>
      <c r="E18" s="65">
        <v>384990864</v>
      </c>
      <c r="F18" s="62" t="s">
        <v>462</v>
      </c>
      <c r="G18" s="62">
        <v>43</v>
      </c>
      <c r="H18" s="66" t="s">
        <v>498</v>
      </c>
      <c r="I18" s="62">
        <v>0</v>
      </c>
      <c r="J18" s="62" t="s">
        <v>453</v>
      </c>
      <c r="K18" s="62"/>
      <c r="L18" s="62"/>
      <c r="M18" s="62"/>
      <c r="N18" s="62"/>
      <c r="O18" s="63">
        <v>45596</v>
      </c>
    </row>
    <row r="19" spans="2:16" ht="44.5" customHeight="1">
      <c r="B19" s="61" t="s">
        <v>91</v>
      </c>
      <c r="C19" s="61" t="s">
        <v>269</v>
      </c>
      <c r="D19" s="64" t="s">
        <v>499</v>
      </c>
      <c r="E19" s="65">
        <v>2197604</v>
      </c>
      <c r="F19" s="62" t="s">
        <v>500</v>
      </c>
      <c r="G19" s="62">
        <v>0</v>
      </c>
      <c r="H19" s="62">
        <v>0</v>
      </c>
      <c r="I19" s="62">
        <v>0</v>
      </c>
      <c r="J19" s="62">
        <v>0</v>
      </c>
      <c r="K19" s="62">
        <v>2</v>
      </c>
      <c r="L19" s="62">
        <v>0</v>
      </c>
      <c r="M19" s="62">
        <v>0</v>
      </c>
      <c r="N19" s="62">
        <v>0</v>
      </c>
      <c r="O19" s="63">
        <v>45595</v>
      </c>
    </row>
    <row r="20" spans="2:16" ht="44.5" customHeight="1">
      <c r="B20" s="61" t="s">
        <v>91</v>
      </c>
      <c r="C20" s="61" t="s">
        <v>269</v>
      </c>
      <c r="D20" s="64" t="s">
        <v>501</v>
      </c>
      <c r="E20" s="65">
        <v>10778878</v>
      </c>
      <c r="F20" s="62" t="s">
        <v>502</v>
      </c>
      <c r="G20" s="62">
        <v>0</v>
      </c>
      <c r="H20" s="62">
        <v>0</v>
      </c>
      <c r="I20" s="62">
        <v>0</v>
      </c>
      <c r="J20" s="62">
        <v>0</v>
      </c>
      <c r="K20" s="62">
        <v>11</v>
      </c>
      <c r="L20" s="62">
        <v>0</v>
      </c>
      <c r="M20" s="62">
        <v>0</v>
      </c>
      <c r="N20" s="62">
        <v>0</v>
      </c>
      <c r="O20" s="63">
        <v>45595</v>
      </c>
    </row>
    <row r="21" spans="2:16" ht="44.5" customHeight="1">
      <c r="B21" s="61" t="s">
        <v>91</v>
      </c>
      <c r="C21" s="61" t="s">
        <v>269</v>
      </c>
      <c r="D21" s="64" t="s">
        <v>458</v>
      </c>
      <c r="E21" s="62">
        <v>140225259</v>
      </c>
      <c r="F21" s="62" t="s">
        <v>457</v>
      </c>
      <c r="G21" s="62">
        <v>0</v>
      </c>
      <c r="H21" s="62">
        <v>0</v>
      </c>
      <c r="I21" s="62">
        <v>0</v>
      </c>
      <c r="J21" s="62">
        <v>0</v>
      </c>
      <c r="K21" s="62">
        <v>8</v>
      </c>
      <c r="L21" s="62">
        <v>0</v>
      </c>
      <c r="M21" s="62">
        <v>0</v>
      </c>
      <c r="N21" s="62">
        <v>0</v>
      </c>
      <c r="O21" s="63">
        <v>45593</v>
      </c>
    </row>
    <row r="22" spans="2:16" ht="44.5" customHeight="1">
      <c r="B22" s="61" t="s">
        <v>91</v>
      </c>
      <c r="C22" s="61" t="s">
        <v>269</v>
      </c>
      <c r="D22" s="64" t="s">
        <v>503</v>
      </c>
      <c r="E22" s="65">
        <v>140718341</v>
      </c>
      <c r="F22" s="62" t="s">
        <v>504</v>
      </c>
      <c r="G22" s="62">
        <v>0</v>
      </c>
      <c r="H22" s="62">
        <v>0</v>
      </c>
      <c r="I22" s="62">
        <v>0</v>
      </c>
      <c r="J22" s="62">
        <v>0</v>
      </c>
      <c r="K22" s="62">
        <v>3</v>
      </c>
      <c r="L22" s="62">
        <v>0</v>
      </c>
      <c r="M22" s="62">
        <v>0</v>
      </c>
      <c r="N22" s="62">
        <v>0</v>
      </c>
      <c r="O22" s="63">
        <v>45588</v>
      </c>
    </row>
    <row r="23" spans="2:16" ht="44.5" customHeight="1">
      <c r="B23" s="61" t="s">
        <v>91</v>
      </c>
      <c r="C23" s="61" t="s">
        <v>269</v>
      </c>
      <c r="D23" s="64" t="s">
        <v>505</v>
      </c>
      <c r="E23" s="62">
        <v>367280630</v>
      </c>
      <c r="F23" s="62" t="s">
        <v>457</v>
      </c>
      <c r="G23" s="62">
        <v>0</v>
      </c>
      <c r="H23" s="62">
        <v>0</v>
      </c>
      <c r="I23" s="62">
        <v>0</v>
      </c>
      <c r="J23" s="62">
        <v>0</v>
      </c>
      <c r="K23" s="62">
        <v>23</v>
      </c>
      <c r="L23" s="62">
        <v>0</v>
      </c>
      <c r="M23" s="62">
        <v>0</v>
      </c>
      <c r="N23" s="62">
        <v>0</v>
      </c>
      <c r="O23" s="63">
        <v>45593</v>
      </c>
    </row>
    <row r="24" spans="2:16" ht="44.5" customHeight="1">
      <c r="B24" s="61" t="s">
        <v>91</v>
      </c>
      <c r="C24" s="61" t="s">
        <v>269</v>
      </c>
      <c r="D24" s="64" t="s">
        <v>506</v>
      </c>
      <c r="E24" s="62">
        <v>520849448</v>
      </c>
      <c r="F24" s="62" t="s">
        <v>507</v>
      </c>
      <c r="G24" s="62">
        <v>0</v>
      </c>
      <c r="H24" s="62">
        <v>0</v>
      </c>
      <c r="I24" s="62">
        <v>0</v>
      </c>
      <c r="J24" s="62">
        <v>0</v>
      </c>
      <c r="K24" s="62">
        <v>9</v>
      </c>
      <c r="L24" s="62">
        <v>0</v>
      </c>
      <c r="M24" s="62">
        <v>0</v>
      </c>
      <c r="N24" s="62">
        <v>0</v>
      </c>
      <c r="O24" s="63">
        <v>45596</v>
      </c>
    </row>
    <row r="25" spans="2:16" ht="44.5" customHeight="1">
      <c r="B25" s="67" t="s">
        <v>92</v>
      </c>
      <c r="C25" s="67" t="s">
        <v>474</v>
      </c>
      <c r="D25" s="67" t="s">
        <v>508</v>
      </c>
      <c r="E25" s="60" t="s">
        <v>509</v>
      </c>
      <c r="F25" s="67" t="s">
        <v>510</v>
      </c>
      <c r="G25" s="67">
        <v>143</v>
      </c>
      <c r="H25" s="70">
        <v>45657</v>
      </c>
      <c r="I25" s="72">
        <v>11</v>
      </c>
      <c r="J25" s="68" t="s">
        <v>452</v>
      </c>
      <c r="K25" s="72"/>
      <c r="L25" s="73"/>
      <c r="M25" s="72"/>
      <c r="N25" s="72"/>
      <c r="O25" s="70">
        <v>45594</v>
      </c>
    </row>
    <row r="26" spans="2:16" ht="44.5" customHeight="1">
      <c r="B26" s="71" t="s">
        <v>511</v>
      </c>
      <c r="C26" s="71" t="s">
        <v>269</v>
      </c>
      <c r="D26" s="38" t="s">
        <v>512</v>
      </c>
      <c r="E26" s="87">
        <v>384391023</v>
      </c>
      <c r="F26" s="71" t="s">
        <v>484</v>
      </c>
      <c r="G26" s="72">
        <v>15</v>
      </c>
      <c r="H26" s="72" t="s">
        <v>513</v>
      </c>
      <c r="I26" s="72">
        <v>0</v>
      </c>
      <c r="J26" s="72" t="s">
        <v>452</v>
      </c>
      <c r="K26" s="72">
        <v>15</v>
      </c>
      <c r="L26" s="72">
        <v>0</v>
      </c>
      <c r="M26" s="72">
        <v>0</v>
      </c>
      <c r="N26" s="72">
        <v>0</v>
      </c>
      <c r="O26" s="69" t="s">
        <v>514</v>
      </c>
      <c r="P26" s="35"/>
    </row>
    <row r="27" spans="2:16" ht="44.5" customHeight="1">
      <c r="B27" s="71"/>
      <c r="C27" s="71"/>
      <c r="D27" s="67"/>
      <c r="E27" s="71"/>
      <c r="F27" s="71"/>
      <c r="G27" s="67"/>
      <c r="H27" s="67"/>
      <c r="I27" s="67"/>
      <c r="J27" s="67"/>
      <c r="K27" s="71"/>
      <c r="L27" s="67"/>
      <c r="M27" s="67"/>
      <c r="N27" s="67"/>
      <c r="O27" s="70"/>
      <c r="P27" s="35"/>
    </row>
    <row r="28" spans="2:16" ht="44.5" customHeight="1">
      <c r="B28" s="67"/>
      <c r="C28" s="67"/>
      <c r="D28" s="67"/>
      <c r="E28" s="45"/>
      <c r="F28" s="67"/>
      <c r="G28" s="67"/>
      <c r="H28" s="67"/>
      <c r="I28" s="67"/>
      <c r="J28" s="67"/>
      <c r="K28" s="67"/>
      <c r="L28" s="67"/>
      <c r="M28" s="67"/>
      <c r="N28" s="67"/>
      <c r="O28" s="70"/>
    </row>
    <row r="29" spans="2:16" ht="32.5" customHeight="1">
      <c r="G29" s="48">
        <f>SUM(G8:G28)</f>
        <v>663</v>
      </c>
      <c r="H29" s="48"/>
      <c r="I29" s="48">
        <f t="shared" ref="I29:L29" si="0">SUM(I8:I28)</f>
        <v>11</v>
      </c>
      <c r="J29" s="48"/>
      <c r="K29" s="48">
        <f t="shared" si="0"/>
        <v>160</v>
      </c>
      <c r="L29" s="48">
        <f t="shared" si="0"/>
        <v>283</v>
      </c>
      <c r="M29" s="38"/>
      <c r="N29" s="38"/>
      <c r="O29" s="38"/>
    </row>
    <row r="30" spans="2:16" ht="12.5"/>
    <row r="31" spans="2:16" ht="12.5"/>
    <row r="32" spans="2:16" ht="12.5"/>
    <row r="33" ht="12.5"/>
    <row r="34" ht="12.5"/>
    <row r="35" ht="12.5"/>
    <row r="36" ht="12.5"/>
    <row r="37" ht="12.5"/>
    <row r="38" ht="12.5"/>
    <row r="39" ht="12.5"/>
    <row r="40" ht="12.5"/>
    <row r="41" ht="12.5"/>
    <row r="42" ht="12.5"/>
    <row r="43" ht="12.5"/>
    <row r="44" ht="12.5"/>
    <row r="45" ht="12.5"/>
    <row r="46" ht="12.5"/>
    <row r="47" ht="12.5"/>
    <row r="48" ht="12.5"/>
    <row r="49" ht="12.5"/>
    <row r="50" ht="12.5"/>
    <row r="51" ht="12.5"/>
    <row r="52" ht="12.5"/>
    <row r="53" ht="12.5"/>
    <row r="54" ht="12.5"/>
    <row r="55" ht="12.5"/>
    <row r="56" ht="12.5"/>
    <row r="57" ht="12.5"/>
    <row r="58" ht="12.5"/>
    <row r="59" ht="12.5"/>
    <row r="60" ht="12.5"/>
    <row r="61" ht="12.5"/>
    <row r="62" ht="12.5"/>
    <row r="63" ht="12.5"/>
    <row r="64" ht="12.5"/>
    <row r="65" ht="12.5"/>
    <row r="66" ht="12.5"/>
    <row r="67" ht="12.5"/>
    <row r="68" ht="12.5"/>
    <row r="69" ht="12.5"/>
    <row r="70" ht="12.5"/>
    <row r="71" ht="12.5"/>
    <row r="72" ht="12.5"/>
    <row r="73" ht="12.5"/>
    <row r="74" ht="12.5"/>
    <row r="75" ht="12.5"/>
    <row r="76" ht="12.5"/>
    <row r="77" ht="12.5"/>
    <row r="78" ht="12.5"/>
    <row r="79" ht="12.5"/>
    <row r="80" ht="12.5"/>
    <row r="81" ht="12.5"/>
    <row r="82" ht="12.5"/>
    <row r="83" ht="12.5"/>
    <row r="84" ht="12.5"/>
    <row r="85" ht="12.5"/>
    <row r="86" ht="12.5"/>
    <row r="87" ht="12.5"/>
    <row r="88" ht="12.5"/>
    <row r="89" ht="12.5"/>
    <row r="90" ht="12.5"/>
    <row r="91" ht="12.5"/>
    <row r="92" ht="12.5"/>
    <row r="93" ht="12.5"/>
    <row r="94" ht="12.5"/>
    <row r="95" ht="12.5"/>
    <row r="96" ht="12.5"/>
    <row r="97" ht="12.5"/>
    <row r="98" ht="12.5"/>
    <row r="99" ht="12.5"/>
    <row r="100" ht="12.5"/>
    <row r="101" ht="12.5"/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5"/>
  <cols>
    <col min="1" max="2" width="17.453125" customWidth="1"/>
    <col min="3" max="3" width="13.7265625" customWidth="1"/>
    <col min="4" max="4" width="16.26953125" customWidth="1"/>
    <col min="5" max="5" width="16.81640625" customWidth="1"/>
    <col min="6" max="6" width="14.7265625" customWidth="1"/>
    <col min="7" max="7" width="16.26953125" customWidth="1"/>
    <col min="8" max="8" width="12.54296875" customWidth="1"/>
    <col min="20" max="20" width="18.1796875" style="14" customWidth="1"/>
    <col min="23" max="23" width="16.179687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2020-08-05T11:40:15Z</cp:lastPrinted>
  <dcterms:created xsi:type="dcterms:W3CDTF">2009-02-04T13:09:17Z</dcterms:created>
  <dcterms:modified xsi:type="dcterms:W3CDTF">2024-12-04T06:12:33Z</dcterms:modified>
</cp:coreProperties>
</file>
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2CE218B5-8096-4D91-AB9D-6479F85DD9C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dane!$A$1:$O$9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5" l="1"/>
  <c r="I29" i="5"/>
  <c r="K29" i="5"/>
  <c r="L29" i="5" l="1"/>
  <c r="E2" i="5" l="1"/>
  <c r="D2" i="5"/>
  <c r="C2" i="5" l="1"/>
</calcChain>
</file>

<file path=xl/sharedStrings.xml><?xml version="1.0" encoding="utf-8"?>
<sst xmlns="http://schemas.openxmlformats.org/spreadsheetml/2006/main" count="570" uniqueCount="513">
  <si>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</si>
  <si>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</si>
  <si>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</si>
  <si>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</si>
  <si>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</si>
  <si>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</si>
  <si>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</si>
  <si>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</si>
  <si>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</si>
  <si>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</si>
  <si>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</si>
  <si>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</si>
  <si>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</si>
  <si>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</si>
  <si>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</si>
  <si>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</si>
  <si>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</si>
  <si>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</si>
  <si>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</si>
  <si>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</si>
  <si>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</si>
  <si>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</si>
  <si>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</si>
  <si>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</si>
  <si>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</si>
  <si>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</si>
  <si>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</si>
  <si>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</si>
  <si>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</si>
  <si>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</si>
  <si>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</si>
  <si>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</si>
  <si>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</si>
  <si>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</si>
  <si>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</si>
  <si>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</si>
  <si>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</si>
  <si>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</si>
  <si>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</si>
  <si>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</si>
  <si>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</si>
  <si>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</si>
  <si>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</si>
  <si>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</si>
  <si>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</si>
  <si>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</si>
  <si>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</si>
  <si>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</si>
  <si>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</si>
  <si>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</si>
  <si>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</si>
  <si>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</si>
  <si>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</si>
  <si>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</si>
  <si>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</si>
  <si>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</si>
  <si>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</si>
  <si>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</si>
  <si>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</si>
  <si>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</si>
  <si>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</si>
  <si>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</si>
  <si>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</si>
  <si>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</si>
  <si>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</si>
  <si>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</si>
  <si>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</si>
  <si>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</si>
  <si>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</si>
  <si>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</si>
  <si>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</si>
  <si>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</si>
  <si>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</si>
  <si>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</si>
  <si>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</si>
  <si>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</si>
  <si>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</si>
  <si>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</si>
  <si>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</si>
  <si>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</si>
  <si>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</si>
  <si>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</si>
  <si>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</si>
  <si>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</si>
  <si>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</si>
  <si>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</si>
  <si>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</si>
  <si>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</si>
  <si>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</si>
  <si>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</si>
  <si>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</si>
  <si>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</si>
  <si>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</si>
  <si>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</si>
  <si>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</si>
  <si>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</si>
  <si>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</si>
  <si>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</si>
  <si>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</si>
  <si>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</si>
  <si>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</si>
  <si>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</si>
  <si>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</si>
  <si>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</si>
  <si>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</si>
  <si>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</si>
  <si>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</si>
  <si>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</si>
  <si>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</si>
  <si>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</si>
  <si>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</si>
  <si>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</si>
  <si>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</si>
  <si>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</si>
  <si>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</si>
  <si>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</si>
  <si>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</si>
  <si>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</si>
  <si>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</si>
  <si>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</si>
  <si>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</si>
  <si>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</si>
  <si>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</si>
  <si>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</si>
  <si>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</si>
  <si>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</si>
  <si>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</si>
  <si>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</si>
  <si>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</si>
  <si>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</si>
  <si>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</si>
  <si>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</si>
  <si>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</si>
  <si>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</si>
  <si>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</si>
  <si>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</si>
  <si>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</si>
  <si>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</si>
  <si>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</si>
  <si>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</si>
  <si>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</si>
  <si>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</si>
  <si>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</si>
  <si>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</si>
  <si>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</si>
  <si>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</si>
  <si>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</si>
  <si>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</si>
  <si>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</si>
  <si>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</si>
  <si>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</si>
  <si>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</si>
  <si>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</si>
  <si>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</si>
  <si>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</si>
  <si>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</si>
  <si>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</si>
  <si>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</si>
  <si>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</si>
  <si>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</si>
  <si>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</si>
  <si>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</si>
  <si>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</si>
  <si>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</si>
  <si>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</si>
  <si>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</si>
  <si>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</si>
  <si>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</si>
  <si>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</si>
  <si>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</si>
  <si>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</si>
  <si>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</si>
  <si>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</si>
  <si>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</si>
  <si>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</si>
  <si>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</si>
  <si>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</si>
  <si>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</si>
  <si>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</si>
  <si>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</si>
  <si>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</si>
  <si>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</si>
  <si>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</si>
  <si>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</si>
  <si>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</si>
  <si>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</si>
  <si>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</si>
  <si>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</si>
  <si>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</si>
  <si>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</si>
  <si>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</si>
  <si>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</si>
  <si>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</si>
  <si>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</si>
  <si>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</si>
  <si>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</si>
  <si>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</si>
  <si>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</si>
  <si>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</si>
  <si>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</si>
  <si>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</si>
  <si>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</si>
  <si>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</si>
  <si>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</si>
  <si>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</si>
  <si>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</si>
  <si>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</si>
  <si>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</si>
  <si>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</si>
  <si>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</si>
  <si>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</si>
  <si>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</si>
  <si>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</si>
  <si>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</si>
  <si>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</si>
  <si>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</si>
  <si>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</si>
  <si>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</si>
  <si>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</si>
  <si>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</si>
  <si>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</si>
  <si>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</si>
  <si>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</si>
  <si>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</si>
  <si>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</si>
  <si>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</si>
  <si>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</si>
  <si>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</si>
  <si>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</si>
  <si>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</si>
  <si>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</si>
  <si>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</si>
  <si>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</si>
  <si>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</si>
  <si>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</si>
  <si>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</si>
  <si>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</si>
  <si>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</si>
  <si>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</si>
  <si>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</si>
  <si>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</si>
  <si>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</si>
  <si>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</si>
  <si>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</si>
  <si>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</si>
  <si>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</si>
  <si>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</si>
  <si>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</si>
  <si>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</si>
  <si>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</si>
  <si>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</si>
  <si>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</si>
  <si>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</si>
  <si>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</si>
  <si>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</si>
  <si>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</si>
  <si>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</si>
  <si>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</si>
  <si>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</si>
  <si>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</si>
  <si>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</si>
  <si>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</si>
  <si>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</si>
  <si>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</si>
  <si>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</si>
  <si>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</si>
  <si>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</si>
  <si>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</si>
  <si>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</si>
  <si>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</si>
  <si>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</si>
  <si>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</si>
  <si>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</si>
  <si>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</si>
  <si>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</si>
  <si>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</si>
  <si>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</si>
  <si>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</si>
  <si>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</si>
  <si>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</si>
  <si>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</si>
  <si>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</si>
  <si>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</si>
  <si>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</si>
  <si>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</si>
  <si>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</si>
  <si>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</si>
  <si>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</si>
  <si>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</si>
  <si>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</si>
  <si>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</si>
  <si>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</si>
  <si>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</si>
  <si>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</si>
  <si>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</si>
  <si>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</si>
  <si>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</si>
  <si>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</si>
  <si>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</si>
  <si>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</si>
  <si>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</si>
  <si>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</si>
  <si>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</si>
  <si>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</si>
  <si>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</si>
  <si>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</si>
  <si>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</si>
  <si>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</si>
  <si>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</si>
  <si>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</si>
  <si>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</si>
  <si>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</si>
  <si>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</si>
  <si>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</si>
  <si>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</si>
  <si>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</si>
  <si>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</si>
  <si>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</si>
  <si>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</si>
  <si>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</si>
  <si>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</si>
  <si>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</si>
  <si>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</si>
  <si>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</si>
  <si>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</si>
  <si>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</si>
  <si>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</si>
  <si>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</si>
  <si>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</si>
  <si>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</si>
  <si>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</si>
  <si>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</si>
  <si>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</si>
  <si>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</si>
  <si>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</si>
  <si>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</si>
  <si>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</si>
  <si>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</si>
  <si>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</si>
  <si>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</si>
  <si>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</si>
  <si>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</si>
  <si>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</si>
  <si>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</si>
  <si>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</si>
  <si>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</si>
  <si>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</si>
  <si>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</si>
  <si>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</si>
  <si>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</si>
  <si>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</si>
  <si>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</si>
  <si>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</si>
  <si>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</si>
  <si>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</si>
  <si>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</si>
  <si>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</si>
  <si>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</si>
  <si>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</si>
  <si>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</si>
  <si>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</si>
  <si>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</si>
  <si>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</si>
  <si>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</si>
  <si>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</si>
  <si>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</si>
  <si>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</si>
  <si>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</si>
  <si>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</si>
  <si>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</si>
  <si>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</si>
  <si>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</si>
  <si>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</si>
  <si>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</si>
  <si>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</si>
  <si>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</si>
  <si>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</si>
  <si>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</si>
  <si>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</si>
  <si>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</si>
  <si>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</si>
  <si>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</si>
  <si>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</si>
  <si>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</si>
  <si>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</si>
  <si>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</si>
  <si>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</si>
  <si>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</si>
  <si>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</si>
  <si>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</si>
  <si>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</si>
  <si>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</si>
  <si>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</si>
  <si>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</si>
  <si>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</si>
  <si>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</si>
  <si>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</si>
  <si>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</si>
  <si>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</si>
  <si>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</si>
  <si>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</si>
  <si>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</si>
  <si>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</si>
  <si>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</si>
  <si>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</si>
  <si>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</si>
  <si>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</si>
  <si>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</si>
  <si>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</si>
  <si>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</si>
  <si>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</si>
  <si>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</si>
  <si>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</si>
  <si>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</si>
  <si>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</si>
  <si>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</si>
  <si>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</si>
  <si>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</si>
  <si>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</si>
  <si>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</si>
  <si>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</si>
  <si>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</si>
  <si>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</si>
  <si>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</si>
  <si>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</si>
  <si>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</si>
  <si>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</si>
  <si>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</si>
  <si>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</si>
  <si>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</si>
  <si>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</si>
  <si>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</si>
  <si>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</si>
  <si>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</si>
  <si>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</si>
  <si>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</si>
  <si>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</si>
  <si>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</si>
  <si>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</si>
  <si>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</si>
  <si>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</si>
  <si>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</si>
  <si>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</si>
  <si>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</si>
  <si>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</si>
  <si>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</si>
  <si>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</si>
  <si>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</si>
  <si>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</si>
  <si>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</si>
  <si>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</si>
  <si>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</si>
  <si>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t>Anna Grochowska</t>
  </si>
  <si>
    <t>anna.grochowska@wup.mazowsze.pl</t>
  </si>
  <si>
    <t>48 22 578 44 40</t>
  </si>
  <si>
    <t>EVIDENT EUROPE GMBH Sp. zo.o. Oddział w Polsce</t>
  </si>
  <si>
    <t>4669 Z</t>
  </si>
  <si>
    <t xml:space="preserve">nie </t>
  </si>
  <si>
    <t>Provident Polska S.A.</t>
  </si>
  <si>
    <t>6492Z</t>
  </si>
  <si>
    <t>6201Z</t>
  </si>
  <si>
    <t xml:space="preserve">HL Tech Sp. z o.o. </t>
  </si>
  <si>
    <t>tak</t>
  </si>
  <si>
    <t>6910Z</t>
  </si>
  <si>
    <t>HOGAN LOVELLS (WARSZAWA) LLP (SPÓŁKA PARTNERSKA) ODDZIAŁ W POLSCE</t>
  </si>
  <si>
    <t>2361Z</t>
  </si>
  <si>
    <t>SEMMELROCK SPÓŁKA Z OGRANICZONĄ ODPOWIEDZIALNOŚCIĄ</t>
  </si>
  <si>
    <t>7010Z</t>
  </si>
  <si>
    <t>nie</t>
  </si>
  <si>
    <t>mazowieckie</t>
  </si>
  <si>
    <t>SOLBIKA SP. Z O.O.</t>
  </si>
  <si>
    <t>14156173000000</t>
  </si>
  <si>
    <t>2313Z</t>
  </si>
  <si>
    <t>od 28.02.2024 do 27.02.2025</t>
  </si>
  <si>
    <t>36772143600000</t>
  </si>
  <si>
    <t>Spółdzielnia Socjalna NASIELSZCZANIE</t>
  </si>
  <si>
    <t>9609Z</t>
  </si>
  <si>
    <t>13.08.2024 do 30.09.2024</t>
  </si>
  <si>
    <t>Jacobs Douwe Egberts PL Sp. z o.o. ul. Taśmowa 7, 02-677 Warszawa</t>
  </si>
  <si>
    <t>4637Z</t>
  </si>
  <si>
    <t>BETTER ENERGY POLAND SPÓŁKA Z OGRANICZONĄ ODPOWIEDZIALNOŚCIĄ</t>
  </si>
  <si>
    <t>Pracodawca poinformował, że zwalnianym pracownikom zapewni ,, pakiet outplacementowy" realizowany przez zewnętrzną firmę</t>
  </si>
  <si>
    <t>AR CLEANING  Sp. z o.o.                                      ul. Hoża 86 lok 410                                                00-682 Warszawa</t>
  </si>
  <si>
    <t>521316062</t>
  </si>
  <si>
    <t>8110Z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</si>
  <si>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</si>
  <si>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140718341</t>
  </si>
  <si>
    <t>6120Z</t>
  </si>
  <si>
    <t>Provident Polska S.A.                                       ul. Inflancka 4A                                            03-189 Warszawa</t>
  </si>
  <si>
    <t>National Westminster Bank PLC                                                                                 Spółka Akcyjna Oddział w Polsce                                                                                                       ul. Iłżecka 26                                                                                                                     02-135 Warszawa</t>
  </si>
  <si>
    <t>6619Z</t>
  </si>
  <si>
    <t>"WOLW-POL" Sp. zo.o.                                          ul. Górczewska 53                                          01-401 Warszawa</t>
  </si>
  <si>
    <t xml:space="preserve">012014330 </t>
  </si>
  <si>
    <t>4771Z</t>
  </si>
  <si>
    <t xml:space="preserve">Wirtualna Polska Media Spółka Akcyjna                                                                       ul. Zwirki i Wgury 16                                             02-092  Warszawa </t>
  </si>
  <si>
    <t>142742958</t>
  </si>
  <si>
    <t>6312Z</t>
  </si>
  <si>
    <t>PKP CARGO S.A. - Centrala
ul. Grójecka 17
02-021 Warszawa</t>
  </si>
  <si>
    <t>277586360</t>
  </si>
  <si>
    <t>4920Z</t>
  </si>
  <si>
    <t>BNP Paribas Polska Spółka Akcyjna                                                   ul. M. Kasprzaka 2                                                      01-211 Warszawa</t>
  </si>
  <si>
    <t>010778878</t>
  </si>
  <si>
    <t>6419Z</t>
  </si>
  <si>
    <t>Carrefour Polska                                                                             ul. Targowa 72                                                                                       03-734 Warszawa</t>
  </si>
  <si>
    <t>070569406</t>
  </si>
  <si>
    <t>4711Z</t>
  </si>
  <si>
    <t>LINK Sp. z o.o.</t>
  </si>
  <si>
    <t>00805553200000</t>
  </si>
  <si>
    <t>Levi Strauss Poland Sp. z o.o.</t>
  </si>
  <si>
    <t>1413Z</t>
  </si>
  <si>
    <t>05-04-2024</t>
  </si>
  <si>
    <t>PKO CARGO S.A</t>
  </si>
  <si>
    <t>277586360XXXXX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</si>
</sst>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#,##0.00&quot; &quot;[$zł-415];[Red]&quot;-&quot;#,##0.00&quot; &quot;[$zł-415]"/>
  </numFmts>
  <fonts count="25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u/>
      <sz val="10"/>
      <color theme="1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sz val="11"/>
      <color rgb="FF000000"/>
      <name val="Arial"/>
      <family val="2"/>
      <charset val="238"/>
    </font>
    <font>
      <b/>
      <i/>
      <sz val="16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i/>
      <u/>
      <sz val="11"/>
      <color rgb="FF000000"/>
      <name val="Arial"/>
      <family val="2"/>
      <charset val="238"/>
    </font>
    <font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5050"/>
        <bgColor rgb="FFFF5050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7" fillId="0" borderId="0"/>
    <xf numFmtId="0" fontId="17" fillId="4" borderId="0" applyNumberFormat="0" applyFont="0" applyBorder="0" applyAlignment="0" applyProtection="0"/>
    <xf numFmtId="0" fontId="17" fillId="4" borderId="0" applyNumberFormat="0" applyFont="0" applyBorder="0" applyProtection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164" fontId="19" fillId="0" borderId="0" applyBorder="0" applyProtection="0"/>
    <xf numFmtId="0" fontId="20" fillId="0" borderId="0" applyNumberFormat="0" applyBorder="0" applyProtection="0"/>
    <xf numFmtId="165" fontId="20" fillId="0" borderId="0" applyBorder="0" applyProtection="0"/>
    <xf numFmtId="43" fontId="1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43" fontId="21" fillId="0" borderId="0" applyFont="0" applyFill="0" applyBorder="0" applyAlignment="0" applyProtection="0"/>
    <xf numFmtId="0" fontId="23" fillId="0" borderId="0"/>
    <xf numFmtId="164" fontId="15" fillId="0" borderId="0" applyBorder="0" applyProtection="0"/>
  </cellStyleXfs>
  <cellXfs count="83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3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23">
    <cellStyle name="cf1" xfId="11" xr:uid="{AA7A6DA0-0093-426D-A699-1195BFB3BF9B}"/>
    <cellStyle name="ConditionalStyle_1" xfId="12" xr:uid="{A3273840-DC2D-47EA-875E-4B2DE94B84D9}"/>
    <cellStyle name="Dziesiętny 2" xfId="6" xr:uid="{95F2F834-C8AF-4CFA-9632-7EC5FFBFCA5F}"/>
    <cellStyle name="Dziesiętny 3" xfId="7" xr:uid="{7D479643-D454-49EC-94B9-070247605B79}"/>
    <cellStyle name="Dziesiętny 4" xfId="18" xr:uid="{38B67BDC-1342-443F-8CF5-E69BBC6D277E}"/>
    <cellStyle name="Dziesiętny 5" xfId="20" xr:uid="{27497266-D830-410F-84E0-BF111E30C97A}"/>
    <cellStyle name="Excel Built-in Normal" xfId="4" xr:uid="{00000000-0005-0000-0000-000000000000}"/>
    <cellStyle name="Heading" xfId="13" xr:uid="{8FD49449-249C-40A2-B5BC-0348E9D196D2}"/>
    <cellStyle name="Heading1" xfId="14" xr:uid="{B1D612FF-9772-4248-8E9B-98C931D4B95C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Hiperłącze 5" xfId="19" xr:uid="{4CF43F06-1745-44DE-A45F-79BEF3DA3CB6}"/>
    <cellStyle name="Normalny" xfId="0" builtinId="0"/>
    <cellStyle name="Normalny 2" xfId="1" xr:uid="{00000000-0005-0000-0000-000004000000}"/>
    <cellStyle name="Normalny 2 2" xfId="15" xr:uid="{B98047FA-D127-4765-903D-EA40A4F2E65C}"/>
    <cellStyle name="Normalny 2 3" xfId="22" xr:uid="{97798B86-E25A-4F87-A97B-3C9218C919E6}"/>
    <cellStyle name="Normalny 3" xfId="9" xr:uid="{8A5988CB-BBF9-435C-BF6D-3EAB49A0F372}"/>
    <cellStyle name="Normalny 4" xfId="10" xr:uid="{1F413BD6-3A7A-46D6-ABF3-AE48C92DCFA6}"/>
    <cellStyle name="Normalny 5" xfId="21" xr:uid="{4D803DC8-74B2-44E7-A647-D6007EE348BB}"/>
    <cellStyle name="Result" xfId="16" xr:uid="{36AE28E8-3783-477E-ACBE-BAE00EAAA640}"/>
    <cellStyle name="Result2" xfId="17" xr:uid="{49A07EA4-EF9F-405F-A4E6-FEC2700AA314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163196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na.grochowska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topLeftCell="A4" zoomScale="75" zoomScaleNormal="75" workbookViewId="0">
      <selection activeCell="F27" sqref="F2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289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76" t="s">
        <v>438</v>
      </c>
      <c r="D22" s="19"/>
    </row>
    <row r="23" spans="3:6" ht="26.25">
      <c r="C23" s="76"/>
      <c r="D23" s="20" t="s">
        <v>280</v>
      </c>
    </row>
    <row r="24" spans="3:6" ht="28.5" customHeight="1">
      <c r="C24" s="76"/>
    </row>
    <row r="25" spans="3:6">
      <c r="C25" s="22"/>
    </row>
    <row r="26" spans="3:6">
      <c r="C26" s="76" t="s">
        <v>439</v>
      </c>
    </row>
    <row r="27" spans="3:6">
      <c r="C27" s="76"/>
    </row>
    <row r="28" spans="3:6" ht="23.25" customHeight="1">
      <c r="C28" s="76"/>
    </row>
    <row r="29" spans="3:6">
      <c r="C29" s="22"/>
    </row>
    <row r="30" spans="3:6" ht="12.75" customHeight="1">
      <c r="C30" s="76" t="s">
        <v>440</v>
      </c>
    </row>
    <row r="31" spans="3:6" ht="12.75" customHeight="1">
      <c r="C31" s="76"/>
    </row>
    <row r="32" spans="3:6" ht="21.75" customHeight="1">
      <c r="C32" s="76"/>
    </row>
    <row r="33" spans="3:3" ht="14.25" customHeight="1">
      <c r="C33" s="76"/>
    </row>
    <row r="34" spans="3:3">
      <c r="C34" s="76"/>
    </row>
    <row r="35" spans="3:3">
      <c r="C35" s="76"/>
    </row>
    <row r="37" spans="3:3" ht="12.75" customHeight="1">
      <c r="C37" s="76" t="s">
        <v>448</v>
      </c>
    </row>
    <row r="38" spans="3:3" ht="12.75" customHeight="1">
      <c r="C38" s="76"/>
    </row>
    <row r="39" spans="3:3" ht="19.5" customHeight="1">
      <c r="C39" s="76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80"/>
  <sheetViews>
    <sheetView tabSelected="1" zoomScale="90" zoomScaleNormal="90" zoomScaleSheetLayoutView="100" workbookViewId="0">
      <selection activeCell="I63" sqref="I63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0" customWidth="1"/>
    <col min="5" max="5" width="25.5703125" style="43" customWidth="1"/>
    <col min="6" max="6" width="13.140625" style="41" customWidth="1"/>
    <col min="7" max="7" width="14.42578125" style="30" customWidth="1"/>
    <col min="8" max="8" width="29.140625" style="30" customWidth="1"/>
    <col min="9" max="9" width="17.28515625" style="46" customWidth="1"/>
    <col min="10" max="10" width="14.42578125" style="30" customWidth="1"/>
    <col min="11" max="11" width="26.7109375" style="46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42"/>
    </row>
    <row r="2" spans="2:15" ht="20.100000000000001" customHeight="1">
      <c r="B2" s="37" t="s">
        <v>2</v>
      </c>
      <c r="C2" s="32" t="str">
        <f>'Dane podstawowe'!$D$6</f>
        <v>MAZOWIECKIE</v>
      </c>
      <c r="D2" s="33" t="str">
        <f>'Dane podstawowe'!D7</f>
        <v xml:space="preserve">Wrzesień </v>
      </c>
      <c r="E2" s="44">
        <f>'Dane podstawowe'!D8</f>
        <v>2024</v>
      </c>
      <c r="F2" s="40"/>
      <c r="G2" s="31"/>
      <c r="H2" s="31"/>
      <c r="I2" s="47"/>
    </row>
    <row r="3" spans="2:15" ht="20.100000000000001" customHeight="1">
      <c r="E3" s="45"/>
    </row>
    <row r="4" spans="2:15" ht="20.100000000000001" customHeight="1">
      <c r="B4" s="77" t="s">
        <v>430</v>
      </c>
      <c r="C4" s="77"/>
      <c r="D4" s="78"/>
      <c r="E4" s="45"/>
    </row>
    <row r="5" spans="2:15" ht="20.100000000000001" customHeight="1">
      <c r="B5" s="34"/>
      <c r="C5" s="34"/>
      <c r="D5" s="35"/>
      <c r="E5" s="45"/>
    </row>
    <row r="6" spans="2:15" ht="90.75" customHeight="1">
      <c r="B6" s="79" t="s">
        <v>444</v>
      </c>
      <c r="C6" s="79"/>
      <c r="D6" s="79"/>
      <c r="E6" s="79"/>
      <c r="F6" s="79"/>
      <c r="G6" s="80" t="s">
        <v>446</v>
      </c>
      <c r="H6" s="81"/>
      <c r="I6" s="81"/>
      <c r="J6" s="82"/>
      <c r="K6" s="53" t="s">
        <v>447</v>
      </c>
      <c r="L6" s="79" t="s">
        <v>445</v>
      </c>
      <c r="M6" s="79"/>
      <c r="N6" s="79"/>
      <c r="O6" s="36"/>
    </row>
    <row r="7" spans="2:15" s="52" customFormat="1" ht="111.75" customHeight="1">
      <c r="B7" s="50" t="s">
        <v>1</v>
      </c>
      <c r="C7" s="50" t="s">
        <v>428</v>
      </c>
      <c r="D7" s="50" t="s">
        <v>0</v>
      </c>
      <c r="E7" s="51" t="s">
        <v>449</v>
      </c>
      <c r="F7" s="50" t="s">
        <v>450</v>
      </c>
      <c r="G7" s="50" t="s">
        <v>432</v>
      </c>
      <c r="H7" s="50" t="s">
        <v>435</v>
      </c>
      <c r="I7" s="50" t="s">
        <v>433</v>
      </c>
      <c r="J7" s="50" t="s">
        <v>434</v>
      </c>
      <c r="K7" s="50" t="s">
        <v>431</v>
      </c>
      <c r="L7" s="50" t="s">
        <v>442</v>
      </c>
      <c r="M7" s="50" t="s">
        <v>441</v>
      </c>
      <c r="N7" s="50" t="s">
        <v>443</v>
      </c>
      <c r="O7" s="50" t="s">
        <v>451</v>
      </c>
    </row>
    <row r="8" spans="2:15" s="52" customFormat="1" ht="12" customHeight="1">
      <c r="B8" s="75" t="s">
        <v>80</v>
      </c>
      <c r="C8" s="59" t="s">
        <v>469</v>
      </c>
      <c r="D8" s="48" t="s">
        <v>511</v>
      </c>
      <c r="E8" s="65" t="s">
        <v>512</v>
      </c>
      <c r="F8" s="48" t="s">
        <v>499</v>
      </c>
      <c r="G8" s="48">
        <v>9</v>
      </c>
      <c r="H8" s="63">
        <v>45596</v>
      </c>
      <c r="I8" s="48">
        <v>9</v>
      </c>
      <c r="J8" s="39" t="s">
        <v>468</v>
      </c>
      <c r="K8" s="48">
        <v>0</v>
      </c>
      <c r="M8" s="48"/>
      <c r="N8" s="48"/>
      <c r="O8" s="63">
        <v>45555</v>
      </c>
    </row>
    <row r="9" spans="2:15" s="57" customFormat="1" ht="44.45" customHeight="1">
      <c r="B9" s="59" t="s">
        <v>89</v>
      </c>
      <c r="C9" s="59" t="s">
        <v>469</v>
      </c>
      <c r="D9" s="60" t="s">
        <v>470</v>
      </c>
      <c r="E9" s="61" t="s">
        <v>471</v>
      </c>
      <c r="F9" s="39" t="s">
        <v>472</v>
      </c>
      <c r="G9" s="59"/>
      <c r="H9" s="48" t="s">
        <v>473</v>
      </c>
      <c r="I9" s="62">
        <v>0</v>
      </c>
      <c r="J9" s="39" t="s">
        <v>468</v>
      </c>
      <c r="K9" s="62">
        <v>18</v>
      </c>
      <c r="L9" s="39">
        <v>0</v>
      </c>
      <c r="M9" s="48"/>
      <c r="N9" s="66"/>
      <c r="O9" s="63">
        <v>45538</v>
      </c>
    </row>
    <row r="10" spans="2:15" s="57" customFormat="1" ht="12.75">
      <c r="B10" s="59" t="s">
        <v>64</v>
      </c>
      <c r="C10" s="59" t="s">
        <v>469</v>
      </c>
      <c r="D10" s="60" t="s">
        <v>475</v>
      </c>
      <c r="E10" s="61" t="s">
        <v>474</v>
      </c>
      <c r="F10" s="39" t="s">
        <v>476</v>
      </c>
      <c r="G10" s="59">
        <v>0</v>
      </c>
      <c r="H10" s="48" t="s">
        <v>477</v>
      </c>
      <c r="I10" s="69">
        <v>0</v>
      </c>
      <c r="J10" s="70" t="s">
        <v>462</v>
      </c>
      <c r="K10" s="62">
        <v>34</v>
      </c>
      <c r="L10" s="39"/>
      <c r="M10" s="48"/>
      <c r="N10" s="67"/>
      <c r="O10" s="63"/>
    </row>
    <row r="11" spans="2:15" s="57" customFormat="1" ht="12.75">
      <c r="B11" s="60" t="s">
        <v>67</v>
      </c>
      <c r="C11" s="59" t="s">
        <v>469</v>
      </c>
      <c r="D11" s="60" t="s">
        <v>506</v>
      </c>
      <c r="E11" s="65" t="s">
        <v>507</v>
      </c>
      <c r="F11" s="48">
        <v>4941</v>
      </c>
      <c r="G11" s="60"/>
      <c r="H11" s="48"/>
      <c r="I11" s="64"/>
      <c r="J11" s="48"/>
      <c r="K11" s="64">
        <v>106</v>
      </c>
      <c r="L11" s="48"/>
      <c r="M11" s="48"/>
      <c r="N11" s="48"/>
      <c r="O11" s="63">
        <v>45565</v>
      </c>
    </row>
    <row r="12" spans="2:15" ht="39.75" customHeight="1">
      <c r="B12" s="60" t="s">
        <v>91</v>
      </c>
      <c r="C12" s="59" t="s">
        <v>469</v>
      </c>
      <c r="D12" s="60" t="s">
        <v>478</v>
      </c>
      <c r="E12" s="65">
        <v>147353687</v>
      </c>
      <c r="F12" s="48" t="s">
        <v>479</v>
      </c>
      <c r="G12" s="60">
        <v>91</v>
      </c>
      <c r="H12" s="48">
        <v>45657</v>
      </c>
      <c r="I12" s="64">
        <v>91</v>
      </c>
      <c r="J12" s="48" t="s">
        <v>457</v>
      </c>
      <c r="K12" s="64"/>
      <c r="L12" s="48"/>
      <c r="M12" s="48"/>
      <c r="N12" s="48"/>
      <c r="O12" s="63">
        <v>45537</v>
      </c>
    </row>
    <row r="13" spans="2:15" ht="25.5">
      <c r="B13" s="54" t="s">
        <v>91</v>
      </c>
      <c r="C13" s="59" t="s">
        <v>469</v>
      </c>
      <c r="D13" s="54" t="s">
        <v>455</v>
      </c>
      <c r="E13" s="49">
        <v>520849448</v>
      </c>
      <c r="F13" s="38" t="s">
        <v>456</v>
      </c>
      <c r="G13" s="54">
        <v>14</v>
      </c>
      <c r="H13" s="38">
        <v>45657</v>
      </c>
      <c r="I13" s="58">
        <v>0</v>
      </c>
      <c r="J13" s="38" t="s">
        <v>457</v>
      </c>
      <c r="K13" s="58"/>
      <c r="L13" s="38"/>
      <c r="M13" s="38"/>
      <c r="N13" s="38"/>
      <c r="O13" s="38">
        <v>45548</v>
      </c>
    </row>
    <row r="14" spans="2:15" ht="12.75">
      <c r="B14" s="54" t="s">
        <v>91</v>
      </c>
      <c r="C14" s="59" t="s">
        <v>469</v>
      </c>
      <c r="D14" s="54" t="s">
        <v>458</v>
      </c>
      <c r="E14" s="49">
        <v>11994880</v>
      </c>
      <c r="F14" s="38" t="s">
        <v>459</v>
      </c>
      <c r="G14" s="54">
        <v>81</v>
      </c>
      <c r="H14" s="38">
        <v>45657</v>
      </c>
      <c r="I14" s="58">
        <v>0</v>
      </c>
      <c r="J14" s="38" t="s">
        <v>457</v>
      </c>
      <c r="K14" s="58"/>
      <c r="L14" s="38"/>
      <c r="M14" s="38"/>
      <c r="N14" s="38"/>
      <c r="O14" s="38">
        <v>45552</v>
      </c>
    </row>
    <row r="15" spans="2:15" ht="12.75">
      <c r="B15" s="54" t="s">
        <v>91</v>
      </c>
      <c r="C15" s="59" t="s">
        <v>469</v>
      </c>
      <c r="D15" s="54" t="s">
        <v>461</v>
      </c>
      <c r="E15" s="49">
        <v>367425169</v>
      </c>
      <c r="F15" s="38" t="s">
        <v>460</v>
      </c>
      <c r="G15" s="54">
        <v>13</v>
      </c>
      <c r="H15" s="38">
        <v>45657</v>
      </c>
      <c r="I15" s="58">
        <v>0</v>
      </c>
      <c r="J15" s="38" t="s">
        <v>457</v>
      </c>
      <c r="K15" s="58"/>
      <c r="L15" s="38"/>
      <c r="M15" s="38"/>
      <c r="N15" s="38"/>
      <c r="O15" s="38">
        <v>45555</v>
      </c>
    </row>
    <row r="16" spans="2:15" ht="25.5">
      <c r="B16" s="54" t="s">
        <v>91</v>
      </c>
      <c r="C16" s="59" t="s">
        <v>469</v>
      </c>
      <c r="D16" s="54" t="s">
        <v>466</v>
      </c>
      <c r="E16" s="49">
        <v>672549211</v>
      </c>
      <c r="F16" s="38" t="s">
        <v>465</v>
      </c>
      <c r="G16" s="54">
        <v>99</v>
      </c>
      <c r="H16" s="38">
        <v>45626</v>
      </c>
      <c r="I16" s="58">
        <v>0</v>
      </c>
      <c r="J16" s="38" t="s">
        <v>457</v>
      </c>
      <c r="K16" s="58"/>
      <c r="L16" s="38"/>
      <c r="M16" s="38"/>
      <c r="N16" s="38"/>
      <c r="O16" s="38">
        <v>45558</v>
      </c>
    </row>
    <row r="17" spans="2:15" ht="98.25" customHeight="1">
      <c r="B17" s="54" t="s">
        <v>91</v>
      </c>
      <c r="C17" s="59" t="s">
        <v>469</v>
      </c>
      <c r="D17" s="54" t="s">
        <v>464</v>
      </c>
      <c r="E17" s="49">
        <v>142006320</v>
      </c>
      <c r="F17" s="38" t="s">
        <v>463</v>
      </c>
      <c r="G17" s="54">
        <v>44</v>
      </c>
      <c r="H17" s="38">
        <v>45777</v>
      </c>
      <c r="I17" s="58">
        <v>0</v>
      </c>
      <c r="J17" s="38" t="s">
        <v>462</v>
      </c>
      <c r="K17" s="58"/>
      <c r="L17" s="38"/>
      <c r="M17" s="38"/>
      <c r="N17" s="38"/>
      <c r="O17" s="38">
        <v>45565</v>
      </c>
    </row>
    <row r="18" spans="2:15" ht="76.5">
      <c r="B18" s="54" t="s">
        <v>91</v>
      </c>
      <c r="C18" s="59" t="s">
        <v>469</v>
      </c>
      <c r="D18" s="54" t="s">
        <v>480</v>
      </c>
      <c r="E18" s="49">
        <v>520216329</v>
      </c>
      <c r="F18" s="38" t="s">
        <v>467</v>
      </c>
      <c r="G18" s="54">
        <v>12</v>
      </c>
      <c r="H18" s="38">
        <v>45596</v>
      </c>
      <c r="I18" s="58">
        <v>0</v>
      </c>
      <c r="J18" s="38" t="s">
        <v>457</v>
      </c>
      <c r="K18" s="58"/>
      <c r="L18" s="38">
        <v>12</v>
      </c>
      <c r="M18" s="38" t="s">
        <v>481</v>
      </c>
      <c r="N18" s="38">
        <v>45596</v>
      </c>
      <c r="O18" s="38">
        <v>45565</v>
      </c>
    </row>
    <row r="19" spans="2:15" ht="38.25">
      <c r="B19" s="54" t="s">
        <v>91</v>
      </c>
      <c r="C19" s="59" t="s">
        <v>469</v>
      </c>
      <c r="D19" s="54" t="s">
        <v>482</v>
      </c>
      <c r="E19" s="49" t="s">
        <v>483</v>
      </c>
      <c r="F19" s="38" t="s">
        <v>484</v>
      </c>
      <c r="G19" s="54">
        <v>0</v>
      </c>
      <c r="H19" s="38">
        <v>0</v>
      </c>
      <c r="I19" s="58">
        <v>0</v>
      </c>
      <c r="J19" s="38">
        <v>0</v>
      </c>
      <c r="K19" s="58">
        <v>77</v>
      </c>
      <c r="L19" s="38">
        <v>0</v>
      </c>
      <c r="M19" s="38">
        <v>0</v>
      </c>
      <c r="N19" s="38">
        <v>0</v>
      </c>
      <c r="O19" s="38">
        <v>45559</v>
      </c>
    </row>
    <row r="20" spans="2:15" ht="51">
      <c r="B20" s="54" t="s">
        <v>91</v>
      </c>
      <c r="C20" s="59" t="s">
        <v>469</v>
      </c>
      <c r="D20" s="54" t="s">
        <v>485</v>
      </c>
      <c r="E20" s="49" t="s">
        <v>486</v>
      </c>
      <c r="F20" s="38" t="s">
        <v>487</v>
      </c>
      <c r="G20" s="54">
        <v>0</v>
      </c>
      <c r="H20" s="38">
        <v>0</v>
      </c>
      <c r="I20" s="58">
        <v>0</v>
      </c>
      <c r="J20" s="38">
        <v>0</v>
      </c>
      <c r="K20" s="58">
        <v>8</v>
      </c>
      <c r="L20" s="38">
        <v>0</v>
      </c>
      <c r="M20" s="38">
        <v>0</v>
      </c>
      <c r="N20" s="38">
        <v>0</v>
      </c>
      <c r="O20" s="38">
        <v>45559</v>
      </c>
    </row>
    <row r="21" spans="2:15" ht="38.25">
      <c r="B21" s="54" t="s">
        <v>91</v>
      </c>
      <c r="C21" s="59" t="s">
        <v>469</v>
      </c>
      <c r="D21" s="54" t="s">
        <v>488</v>
      </c>
      <c r="E21" s="49">
        <v>11994880</v>
      </c>
      <c r="F21" s="38" t="s">
        <v>459</v>
      </c>
      <c r="G21" s="54">
        <v>0</v>
      </c>
      <c r="H21" s="38">
        <v>0</v>
      </c>
      <c r="I21" s="58">
        <v>0</v>
      </c>
      <c r="J21" s="38">
        <v>0</v>
      </c>
      <c r="K21" s="58">
        <v>30</v>
      </c>
      <c r="L21" s="38">
        <v>0</v>
      </c>
      <c r="M21" s="38">
        <v>0</v>
      </c>
      <c r="N21" s="38">
        <v>0</v>
      </c>
      <c r="O21" s="38">
        <v>45558</v>
      </c>
    </row>
    <row r="22" spans="2:15" ht="51">
      <c r="B22" s="54" t="s">
        <v>91</v>
      </c>
      <c r="C22" s="59" t="s">
        <v>469</v>
      </c>
      <c r="D22" s="54" t="s">
        <v>489</v>
      </c>
      <c r="E22" s="49">
        <v>367280630</v>
      </c>
      <c r="F22" s="38" t="s">
        <v>490</v>
      </c>
      <c r="G22" s="54">
        <v>0</v>
      </c>
      <c r="H22" s="38">
        <v>0</v>
      </c>
      <c r="I22" s="58">
        <v>0</v>
      </c>
      <c r="J22" s="38">
        <v>0</v>
      </c>
      <c r="K22" s="58">
        <v>365</v>
      </c>
      <c r="L22" s="38">
        <v>0</v>
      </c>
      <c r="M22" s="38">
        <v>0</v>
      </c>
      <c r="N22" s="38">
        <v>0</v>
      </c>
      <c r="O22" s="38">
        <v>45559</v>
      </c>
    </row>
    <row r="23" spans="2:15" ht="38.25">
      <c r="B23" s="54" t="s">
        <v>91</v>
      </c>
      <c r="C23" s="59" t="s">
        <v>469</v>
      </c>
      <c r="D23" s="54" t="s">
        <v>491</v>
      </c>
      <c r="E23" s="49" t="s">
        <v>492</v>
      </c>
      <c r="F23" s="38" t="s">
        <v>493</v>
      </c>
      <c r="G23" s="54">
        <v>0</v>
      </c>
      <c r="H23" s="38">
        <v>0</v>
      </c>
      <c r="I23" s="58">
        <v>0</v>
      </c>
      <c r="J23" s="38">
        <v>0</v>
      </c>
      <c r="K23" s="58">
        <v>10</v>
      </c>
      <c r="L23" s="38">
        <v>0</v>
      </c>
      <c r="M23" s="38">
        <v>0</v>
      </c>
      <c r="N23" s="38">
        <v>0</v>
      </c>
      <c r="O23" s="38">
        <v>45559</v>
      </c>
    </row>
    <row r="24" spans="2:15" ht="38.25">
      <c r="B24" s="54" t="s">
        <v>91</v>
      </c>
      <c r="C24" s="59" t="s">
        <v>469</v>
      </c>
      <c r="D24" s="54" t="s">
        <v>494</v>
      </c>
      <c r="E24" s="49" t="s">
        <v>495</v>
      </c>
      <c r="F24" s="38" t="s">
        <v>496</v>
      </c>
      <c r="G24" s="54">
        <v>0</v>
      </c>
      <c r="H24" s="38">
        <v>0</v>
      </c>
      <c r="I24" s="58">
        <v>0</v>
      </c>
      <c r="J24" s="38">
        <v>0</v>
      </c>
      <c r="K24" s="58">
        <v>4</v>
      </c>
      <c r="L24" s="38">
        <v>0</v>
      </c>
      <c r="M24" s="38">
        <v>0</v>
      </c>
      <c r="N24" s="38">
        <v>0</v>
      </c>
      <c r="O24" s="38">
        <v>45559</v>
      </c>
    </row>
    <row r="25" spans="2:15" ht="38.25">
      <c r="B25" s="54" t="s">
        <v>91</v>
      </c>
      <c r="C25" s="59" t="s">
        <v>469</v>
      </c>
      <c r="D25" s="54" t="s">
        <v>497</v>
      </c>
      <c r="E25" s="49" t="s">
        <v>498</v>
      </c>
      <c r="F25" s="38" t="s">
        <v>499</v>
      </c>
      <c r="G25" s="54">
        <v>0</v>
      </c>
      <c r="H25" s="38">
        <v>0</v>
      </c>
      <c r="I25" s="58">
        <v>0</v>
      </c>
      <c r="J25" s="38">
        <v>0</v>
      </c>
      <c r="K25" s="58">
        <v>2</v>
      </c>
      <c r="L25" s="38">
        <v>0</v>
      </c>
      <c r="M25" s="38">
        <v>0</v>
      </c>
      <c r="N25" s="38">
        <v>0</v>
      </c>
      <c r="O25" s="38">
        <v>45565</v>
      </c>
    </row>
    <row r="26" spans="2:15" ht="38.25">
      <c r="B26" s="54" t="s">
        <v>91</v>
      </c>
      <c r="C26" s="59" t="s">
        <v>469</v>
      </c>
      <c r="D26" s="54" t="s">
        <v>500</v>
      </c>
      <c r="E26" s="49" t="s">
        <v>501</v>
      </c>
      <c r="F26" s="38" t="s">
        <v>502</v>
      </c>
      <c r="G26" s="54">
        <v>0</v>
      </c>
      <c r="H26" s="38">
        <v>0</v>
      </c>
      <c r="I26" s="58">
        <v>0</v>
      </c>
      <c r="J26" s="38">
        <v>0</v>
      </c>
      <c r="K26" s="58">
        <v>19</v>
      </c>
      <c r="L26" s="38">
        <v>0</v>
      </c>
      <c r="M26" s="38">
        <v>0</v>
      </c>
      <c r="N26" s="38">
        <v>0</v>
      </c>
      <c r="O26" s="38">
        <v>45565</v>
      </c>
    </row>
    <row r="27" spans="2:15" ht="38.25">
      <c r="B27" s="54" t="s">
        <v>91</v>
      </c>
      <c r="C27" s="59" t="s">
        <v>469</v>
      </c>
      <c r="D27" s="54" t="s">
        <v>503</v>
      </c>
      <c r="E27" s="49" t="s">
        <v>504</v>
      </c>
      <c r="F27" s="38" t="s">
        <v>505</v>
      </c>
      <c r="G27" s="54">
        <v>0</v>
      </c>
      <c r="H27" s="38">
        <v>0</v>
      </c>
      <c r="I27" s="58">
        <v>0</v>
      </c>
      <c r="J27" s="38">
        <v>0</v>
      </c>
      <c r="K27" s="58">
        <v>9</v>
      </c>
      <c r="L27" s="38">
        <v>0</v>
      </c>
      <c r="M27" s="38">
        <v>0</v>
      </c>
      <c r="N27" s="38">
        <v>0</v>
      </c>
      <c r="O27" s="38">
        <v>45565</v>
      </c>
    </row>
    <row r="28" spans="2:15" ht="12.75">
      <c r="B28" s="68" t="s">
        <v>88</v>
      </c>
      <c r="C28" s="71" t="s">
        <v>469</v>
      </c>
      <c r="D28" s="68" t="s">
        <v>508</v>
      </c>
      <c r="E28" s="72">
        <v>610001881</v>
      </c>
      <c r="F28" s="73" t="s">
        <v>509</v>
      </c>
      <c r="G28" s="68"/>
      <c r="H28" s="73"/>
      <c r="I28" s="74"/>
      <c r="J28" s="73"/>
      <c r="K28" s="74">
        <v>7</v>
      </c>
      <c r="L28" s="73"/>
      <c r="M28" s="73"/>
      <c r="N28" s="73"/>
      <c r="O28" s="73" t="s">
        <v>510</v>
      </c>
    </row>
    <row r="29" spans="2:15" ht="12.75">
      <c r="B29" s="55"/>
      <c r="C29" s="55"/>
      <c r="D29" s="55"/>
      <c r="E29" s="45"/>
      <c r="F29" s="42"/>
      <c r="G29" s="56">
        <f>SUM(G8:G28)</f>
        <v>363</v>
      </c>
      <c r="H29" s="56"/>
      <c r="I29" s="56">
        <f>SUM(I8:I28)</f>
        <v>100</v>
      </c>
      <c r="J29" s="56"/>
      <c r="K29" s="56">
        <f>SUM(K9:K28)</f>
        <v>689</v>
      </c>
      <c r="L29" s="56">
        <f>SUM(L9:L28)</f>
        <v>12</v>
      </c>
      <c r="M29" s="42"/>
      <c r="N29" s="42"/>
      <c r="O29" s="42"/>
    </row>
    <row r="30" spans="2:15" ht="12.75"/>
    <row r="31" spans="2:15" ht="12.75"/>
    <row r="32" spans="2:15" ht="12.75"/>
    <row r="33" spans="2:15" ht="12.75"/>
    <row r="34" spans="2:15" ht="12.75"/>
    <row r="35" spans="2:15" ht="12.75"/>
    <row r="36" spans="2:15" ht="12.75"/>
    <row r="37" spans="2:15" ht="12.75"/>
    <row r="38" spans="2:15" ht="12.75"/>
    <row r="39" spans="2:15" ht="12.75"/>
    <row r="40" spans="2:15" ht="12.75"/>
    <row r="41" spans="2:15" ht="12.75"/>
    <row r="42" spans="2:15" ht="12.75"/>
    <row r="43" spans="2:15" ht="12.75"/>
    <row r="44" spans="2:15" ht="12.75"/>
    <row r="45" spans="2:15" ht="12.75"/>
    <row r="46" spans="2:15" ht="32.450000000000003" customHeight="1"/>
    <row r="47" spans="2:15" ht="12.75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2:15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2024-10-03T08:37:40Z</cp:lastPrinted>
  <dcterms:created xsi:type="dcterms:W3CDTF">2009-02-04T13:09:17Z</dcterms:created>
  <dcterms:modified xsi:type="dcterms:W3CDTF">2025-07-31T07:50:48Z</dcterms:modified>
</cp:coreProperties>
</file>
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3\"/>
    </mc:Choice>
  </mc:AlternateContent>
  <xr:revisionPtr revIDLastSave="0" documentId="13_ncr:1_{F29783AA-5702-45A8-B200-C2011F14D53F}" xr6:coauthVersionLast="47" xr6:coauthVersionMax="47" xr10:uidLastSave="{00000000-0000-0000-0000-000000000000}"/>
  <bookViews>
    <workbookView xWindow="28680" yWindow="795" windowWidth="29040" windowHeight="157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dane!$A$1:$O$22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5" l="1"/>
  <c r="H23" i="5"/>
  <c r="I23" i="5"/>
  <c r="J23" i="5"/>
  <c r="K23" i="5"/>
  <c r="E2" i="5"/>
  <c r="D2" i="5"/>
  <c r="C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Magdalena Fic</author>
  </authors>
  <commentList>
    <comment ref="H9" authorId="0" shapeId="0" xr:uid="{B6F7ECB5-0CCB-40F4-B4F7-7981E350AE46}">
      <text>
        <r>
          <rPr>
            <b/>
            <sz val="9"/>
            <color indexed="81"/>
            <rFont val="Tahoma"/>
            <family val="2"/>
            <charset val="238"/>
          </rPr>
          <t>Magdalena Fic:</t>
        </r>
        <r>
          <rPr>
            <sz val="9"/>
            <color indexed="81"/>
            <rFont val="Tahoma"/>
            <family val="2"/>
            <charset val="238"/>
          </rPr>
          <t xml:space="preserve">
W dniu 24.05.2023 r. uzyskałam informację od pracodawcy, że procesem zwolnień grupowych z Warszawy objętych jest 15 osób </t>
        </r>
      </text>
    </comment>
    <comment ref="H10" authorId="0" shapeId="0" xr:uid="{9FE7C6F0-B39F-4119-8187-917FBDDD6DDE}">
      <text>
        <r>
          <rPr>
            <b/>
            <sz val="9"/>
            <color indexed="81"/>
            <rFont val="Tahoma"/>
            <family val="2"/>
            <charset val="238"/>
          </rPr>
          <t>Magdalena Fic:</t>
        </r>
        <r>
          <rPr>
            <sz val="9"/>
            <color indexed="81"/>
            <rFont val="Tahoma"/>
            <family val="2"/>
            <charset val="238"/>
          </rPr>
          <t xml:space="preserve">
w dniu 19.05.2023 r. uzyskałam informacje od pracodawcy, że wszyscy pracownicy są zatrudnieni na niepełny wymiar czasu pracy w ramach umowy o pracę.  W związku z tym, że zmieniają się przepisy prawne, wszyscy pracownicy zostną zatrudnieni na na podstawie innej formy prawnej. 
                  </t>
        </r>
      </text>
    </comment>
    <comment ref="H11" authorId="0" shapeId="0" xr:uid="{4B3B39BC-EEBD-4F4B-9893-B2CDF6C8D0A0}">
      <text>
        <r>
          <rPr>
            <b/>
            <sz val="9"/>
            <color indexed="81"/>
            <rFont val="Tahoma"/>
            <family val="2"/>
            <charset val="238"/>
          </rPr>
          <t>Magdalena Fic:</t>
        </r>
        <r>
          <rPr>
            <sz val="9"/>
            <color indexed="81"/>
            <rFont val="Tahoma"/>
            <family val="2"/>
            <charset val="238"/>
          </rPr>
          <t xml:space="preserve">
W dniu 29.05.2023 r. uzyskałam informacje od pracodawcy, że wszystkie osoby objętem procesem zwolnień gupowych, zatrudnione są tylko na niewielką część etatu w ramach umów o pracę. Wszyscy mają dodatkowo zawarte z pracodawcą umowy cwyilno prawne.  Prawodpodonnie osoby z którymi zostaną rozwiązane umowy  o pracę nadal będa pracować u pracodawcy,na podstawie umowów cywilno prawnych.</t>
        </r>
      </text>
    </comment>
  </commentList>
</comments>
</file>

<file path=xl/sharedStrings.xml><?xml version="1.0" encoding="utf-8"?>
<sst xmlns="http://schemas.openxmlformats.org/spreadsheetml/2006/main" count="541" uniqueCount="498">
  <si>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</si>
  <si>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</si>
  <si>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</si>
  <si>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</si>
  <si>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</si>
  <si>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</si>
  <si>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</si>
  <si>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</si>
  <si>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</si>
  <si>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</si>
  <si>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</si>
  <si>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</si>
  <si>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</si>
  <si>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</si>
  <si>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</si>
  <si>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</si>
  <si>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</si>
  <si>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</si>
  <si>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</si>
  <si>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</si>
  <si>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</si>
  <si>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</si>
  <si>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</si>
  <si>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</si>
  <si>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</si>
  <si>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</si>
  <si>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</si>
  <si>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</si>
  <si>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</si>
  <si>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</si>
  <si>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</si>
  <si>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</si>
  <si>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</si>
  <si>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</si>
  <si>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</si>
  <si>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</si>
  <si>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</si>
  <si>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</si>
  <si>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</si>
  <si>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</si>
  <si>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</si>
  <si>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</si>
  <si>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</si>
  <si>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</si>
  <si>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</si>
  <si>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</si>
  <si>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</si>
  <si>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</si>
  <si>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</si>
  <si>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</si>
  <si>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</si>
  <si>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</si>
  <si>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</si>
  <si>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</si>
  <si>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</si>
  <si>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</si>
  <si>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</si>
  <si>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</si>
  <si>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</si>
  <si>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</si>
  <si>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</si>
  <si>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</si>
  <si>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</si>
  <si>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</si>
  <si>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</si>
  <si>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</si>
  <si>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</si>
  <si>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</si>
  <si>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</si>
  <si>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</si>
  <si>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</si>
  <si>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</si>
  <si>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</si>
  <si>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</si>
  <si>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</si>
  <si>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</si>
  <si>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</si>
  <si>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</si>
  <si>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</si>
  <si>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</si>
  <si>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</si>
  <si>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</si>
  <si>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</si>
  <si>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</si>
  <si>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</si>
  <si>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</si>
  <si>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</si>
  <si>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</si>
  <si>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</si>
  <si>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</si>
  <si>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</si>
  <si>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</si>
  <si>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</si>
  <si>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</si>
  <si>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</si>
  <si>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</si>
  <si>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</si>
  <si>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</si>
  <si>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</si>
  <si>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</si>
  <si>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</si>
  <si>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</si>
  <si>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</si>
  <si>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</si>
  <si>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</si>
  <si>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</si>
  <si>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</si>
  <si>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</si>
  <si>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</si>
  <si>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</si>
  <si>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</si>
  <si>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</si>
  <si>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</si>
  <si>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</si>
  <si>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</si>
  <si>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</si>
  <si>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</si>
  <si>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</si>
  <si>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</si>
  <si>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</si>
  <si>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</si>
  <si>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</si>
  <si>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</si>
  <si>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</si>
  <si>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</si>
  <si>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</si>
  <si>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</si>
  <si>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</si>
  <si>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</si>
  <si>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</si>
  <si>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</si>
  <si>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</si>
  <si>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</si>
  <si>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</si>
  <si>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</si>
  <si>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</si>
  <si>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</si>
  <si>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</si>
  <si>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</si>
  <si>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</si>
  <si>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</si>
  <si>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</si>
  <si>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</si>
  <si>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</si>
  <si>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</si>
  <si>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</si>
  <si>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</si>
  <si>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</si>
  <si>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</si>
  <si>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</si>
  <si>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</si>
  <si>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</si>
  <si>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</si>
  <si>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</si>
  <si>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</si>
  <si>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</si>
  <si>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</si>
  <si>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</si>
  <si>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</si>
  <si>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</si>
  <si>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</si>
  <si>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</si>
  <si>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</si>
  <si>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</si>
  <si>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</si>
  <si>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</si>
  <si>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</si>
  <si>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</si>
  <si>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</si>
  <si>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</si>
  <si>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</si>
  <si>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</si>
  <si>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</si>
  <si>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</si>
  <si>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</si>
  <si>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</si>
  <si>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</si>
  <si>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</si>
  <si>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</si>
  <si>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</si>
  <si>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</si>
  <si>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</si>
  <si>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</si>
  <si>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</si>
  <si>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</si>
  <si>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</si>
  <si>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</si>
  <si>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</si>
  <si>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</si>
  <si>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</si>
  <si>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</si>
  <si>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</si>
  <si>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</si>
  <si>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</si>
  <si>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</si>
  <si>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</si>
  <si>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</si>
  <si>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</si>
  <si>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</si>
  <si>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</si>
  <si>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</si>
  <si>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</si>
  <si>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</si>
  <si>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</si>
  <si>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</si>
  <si>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</si>
  <si>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</si>
  <si>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</si>
  <si>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</si>
  <si>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</si>
  <si>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</si>
  <si>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</si>
  <si>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</si>
  <si>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</si>
  <si>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</si>
  <si>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</si>
  <si>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</si>
  <si>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</si>
  <si>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</si>
  <si>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</si>
  <si>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</si>
  <si>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</si>
  <si>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</si>
  <si>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</si>
  <si>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</si>
  <si>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</si>
  <si>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</si>
  <si>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</si>
  <si>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</si>
  <si>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</si>
  <si>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</si>
  <si>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</si>
  <si>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</si>
  <si>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</si>
  <si>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</si>
  <si>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</si>
  <si>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</si>
  <si>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</si>
  <si>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</si>
  <si>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</si>
  <si>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</si>
  <si>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</si>
  <si>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</si>
  <si>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</si>
  <si>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</si>
  <si>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</si>
  <si>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</si>
  <si>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</si>
  <si>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</si>
  <si>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</si>
  <si>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</si>
  <si>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</si>
  <si>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</si>
  <si>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</si>
  <si>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</si>
  <si>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</si>
  <si>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</si>
  <si>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</si>
  <si>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</si>
  <si>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</si>
  <si>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</si>
  <si>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</si>
  <si>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</si>
  <si>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</si>
  <si>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</si>
  <si>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</si>
  <si>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</si>
  <si>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</si>
  <si>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</si>
  <si>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</si>
  <si>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</si>
  <si>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</si>
  <si>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</si>
  <si>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</si>
  <si>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</si>
  <si>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</si>
  <si>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</si>
  <si>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</si>
  <si>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</si>
  <si>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</si>
  <si>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</si>
  <si>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</si>
  <si>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</si>
  <si>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</si>
  <si>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</si>
  <si>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</si>
  <si>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</si>
  <si>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</si>
  <si>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</si>
  <si>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</si>
  <si>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</si>
  <si>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</si>
  <si>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</si>
  <si>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</si>
  <si>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</si>
  <si>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</si>
  <si>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</si>
  <si>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</si>
  <si>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</si>
  <si>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</si>
  <si>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</si>
  <si>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</si>
  <si>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</si>
  <si>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</si>
  <si>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</si>
  <si>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</si>
  <si>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</si>
  <si>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</si>
  <si>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</si>
  <si>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</si>
  <si>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</si>
  <si>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</si>
  <si>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</si>
  <si>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</si>
  <si>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</si>
  <si>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</si>
  <si>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</si>
  <si>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</si>
  <si>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</si>
  <si>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</si>
  <si>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</si>
  <si>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</si>
  <si>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</si>
  <si>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</si>
  <si>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</si>
  <si>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</si>
  <si>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</si>
  <si>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</si>
  <si>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</si>
  <si>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</si>
  <si>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</si>
  <si>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</si>
  <si>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</si>
  <si>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</si>
  <si>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</si>
  <si>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</si>
  <si>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</si>
  <si>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</si>
  <si>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</si>
  <si>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</si>
  <si>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</si>
  <si>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</si>
  <si>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</si>
  <si>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</si>
  <si>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</si>
  <si>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</si>
  <si>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</si>
  <si>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</si>
  <si>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</si>
  <si>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</si>
  <si>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</si>
  <si>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</si>
  <si>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</si>
  <si>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</si>
  <si>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</si>
  <si>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</si>
  <si>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</si>
  <si>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</si>
  <si>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</si>
  <si>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</si>
  <si>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</si>
  <si>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</si>
  <si>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</si>
  <si>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</si>
  <si>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</si>
  <si>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</si>
  <si>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</si>
  <si>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</si>
  <si>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</si>
  <si>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</si>
  <si>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</si>
  <si>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</si>
  <si>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</si>
  <si>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</si>
  <si>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</si>
  <si>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</si>
  <si>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</si>
  <si>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</si>
  <si>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</si>
  <si>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</si>
  <si>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</si>
  <si>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</si>
  <si>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</si>
  <si>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</si>
  <si>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</si>
  <si>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</si>
  <si>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</si>
  <si>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</si>
  <si>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</si>
  <si>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</si>
  <si>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</si>
  <si>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</si>
  <si>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</si>
  <si>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</si>
  <si>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</si>
  <si>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</si>
  <si>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</si>
  <si>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</si>
  <si>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</si>
  <si>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</si>
  <si>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</si>
  <si>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</si>
  <si>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</si>
  <si>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</si>
  <si>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</si>
  <si>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</si>
  <si>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</si>
  <si>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</si>
  <si>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</si>
  <si>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</si>
  <si>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</si>
  <si>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</si>
  <si>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</si>
  <si>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</si>
  <si>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</si>
  <si>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</si>
  <si>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</si>
  <si>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</si>
  <si>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</si>
  <si>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</si>
  <si>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</si>
  <si>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</si>
  <si>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</si>
  <si>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</si>
  <si>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</si>
  <si>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</si>
  <si>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</si>
  <si>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</si>
  <si>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</si>
  <si>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</si>
  <si>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</si>
  <si>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</si>
  <si>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</si>
  <si>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</si>
  <si>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</si>
  <si>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</si>
  <si>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</si>
  <si>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</si>
  <si>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</si>
  <si>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</si>
  <si>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</si>
  <si>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</si>
  <si>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</si>
  <si>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</si>
  <si>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</si>
  <si>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</si>
  <si>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</si>
  <si>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</si>
  <si>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</si>
  <si>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</si>
  <si>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</si>
  <si>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</si>
  <si>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</si>
  <si>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</si>
  <si>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nie</t>
  </si>
  <si>
    <t>48 22 578 44 17</t>
  </si>
  <si>
    <t xml:space="preserve">Burda Media Polska Sp. z o.o.                                          ul. Marynarska 15                                         02-674 Warszawa </t>
  </si>
  <si>
    <t>6311Z</t>
  </si>
  <si>
    <t>4511Z</t>
  </si>
  <si>
    <t>4637Z</t>
  </si>
  <si>
    <t>Dom Opiekuńczo - Leczniczy ”Opatrzności Bożej” w Pilaszkowie</t>
  </si>
  <si>
    <t>8790Z</t>
  </si>
  <si>
    <t xml:space="preserve">Huuuge Games Sp. z o.o.                                           ul.Storrady - Świętosławy 1A/501                                 71-602 Szczecin </t>
  </si>
  <si>
    <t>5821Z</t>
  </si>
  <si>
    <t>4771Z</t>
  </si>
  <si>
    <t>Go Sport Polska Sp. zo.o.                                       ul. Krakowiaków 48                                             02-255 Warszawa</t>
  </si>
  <si>
    <t>013125125</t>
  </si>
  <si>
    <t xml:space="preserve">Ringier Axel Springier                                              Polska Sp. z o.o.                                                                   ul. Domaniewska 49                                             02-672 Warszawa </t>
  </si>
  <si>
    <t>010687650</t>
  </si>
  <si>
    <t>5814Z</t>
  </si>
  <si>
    <t>Podravka Polska Sp. z o.o.                            ul.Cypryjska 72                                                             02-761  Warszawa</t>
  </si>
  <si>
    <t>FTTH Solutions Sp. z o.o.                                               ul. Marsa 56a                                                           04-242 Warszawa</t>
  </si>
  <si>
    <t>6832Z</t>
  </si>
  <si>
    <t>T-Mobile Polska S.A.                            ul. Marynarska 12                                                 02-674 Warszawa</t>
  </si>
  <si>
    <t>011417295</t>
  </si>
  <si>
    <t>6120Z</t>
  </si>
  <si>
    <t>05- 08.2023</t>
  </si>
  <si>
    <t>Pracodawca przedstawił program outplacmentowy,               w ramach którego pracownicy będą mogli skorzytać z usług pośrednictwa pracy                      i poradnictwa zawodowego</t>
  </si>
  <si>
    <t>H+H Polska Sp. z o.o.                                ul. Kupiecka  6                                           03-046 Warszawa</t>
  </si>
  <si>
    <t>2361Z</t>
  </si>
  <si>
    <t xml:space="preserve">Expander Advisors Sp. z o.o.                            ul. Inflancka 4B                                              00-189 Warszawa </t>
  </si>
  <si>
    <t>141062210</t>
  </si>
  <si>
    <t>6619Z</t>
  </si>
  <si>
    <t>05-10.2023</t>
  </si>
  <si>
    <t>NOTUS Finanse S.A.                                       ul. Puławska 2                                                 02-566 Warszawa</t>
  </si>
  <si>
    <t xml:space="preserve">  015644697</t>
  </si>
  <si>
    <t>05-09.2023</t>
  </si>
  <si>
    <t>210944514</t>
  </si>
  <si>
    <t>AUTOHERO Polska Sp. z o.o.                                       ul. Połczyńska 31a                                                       01-377 Warszawa</t>
  </si>
  <si>
    <t>Booksy International  Sp.  z o.o.                                      ul. Prosta 67 p. 28                                        00-838 Warszawa</t>
  </si>
  <si>
    <t>147315920</t>
  </si>
  <si>
    <t>6399Z</t>
  </si>
  <si>
    <t xml:space="preserve">  320132107</t>
  </si>
  <si>
    <t>Arriva Polska Sp, z o.o.                                  ul. Żwirki i Figury 16A                                 02-092 Warszawy</t>
  </si>
  <si>
    <t>1406845501</t>
  </si>
  <si>
    <t>7010Z</t>
  </si>
  <si>
    <t>321 SPRZEDANE.PL                                             ul. Królowej Jadwigi 43                                                       61-872 Poznań</t>
  </si>
  <si>
    <t>380917238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</si>
</sst>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General"/>
  </numFmts>
  <fonts count="21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charset val="238"/>
    </font>
    <font>
      <sz val="11"/>
      <name val="Calibri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6"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Normalny" xfId="0" builtinId="0"/>
    <cellStyle name="Normalny 2" xfId="1" xr:uid="{00000000-0005-0000-0000-000004000000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285</v>
      </c>
      <c r="E7" s="10"/>
    </row>
    <row r="8" spans="3:7" ht="38.25" customHeight="1" thickBot="1">
      <c r="C8" s="12" t="s">
        <v>293</v>
      </c>
      <c r="D8" s="16">
        <v>2023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455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67" t="s">
        <v>438</v>
      </c>
      <c r="D22" s="19"/>
    </row>
    <row r="23" spans="3:6" ht="26.25">
      <c r="C23" s="67"/>
      <c r="D23" s="20" t="s">
        <v>280</v>
      </c>
    </row>
    <row r="24" spans="3:6" ht="28.5" customHeight="1">
      <c r="C24" s="67"/>
    </row>
    <row r="25" spans="3:6">
      <c r="C25" s="22"/>
    </row>
    <row r="26" spans="3:6">
      <c r="C26" s="67" t="s">
        <v>439</v>
      </c>
    </row>
    <row r="27" spans="3:6">
      <c r="C27" s="67"/>
    </row>
    <row r="28" spans="3:6" ht="23.25" customHeight="1">
      <c r="C28" s="67"/>
    </row>
    <row r="29" spans="3:6">
      <c r="C29" s="22"/>
    </row>
    <row r="30" spans="3:6" ht="12.75" customHeight="1">
      <c r="C30" s="67" t="s">
        <v>440</v>
      </c>
    </row>
    <row r="31" spans="3:6" ht="12.75" customHeight="1">
      <c r="C31" s="67"/>
    </row>
    <row r="32" spans="3:6" ht="21.75" customHeight="1">
      <c r="C32" s="67"/>
    </row>
    <row r="33" spans="3:3" ht="14.25" customHeight="1">
      <c r="C33" s="67"/>
    </row>
    <row r="34" spans="3:3">
      <c r="C34" s="67"/>
    </row>
    <row r="35" spans="3:3">
      <c r="C35" s="67"/>
    </row>
    <row r="37" spans="3:3" ht="12.75" customHeight="1">
      <c r="C37" s="67" t="s">
        <v>448</v>
      </c>
    </row>
    <row r="38" spans="3:3" ht="12.75" customHeight="1">
      <c r="C38" s="67"/>
    </row>
    <row r="39" spans="3:3" ht="19.5" customHeight="1">
      <c r="C39" s="67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3"/>
  <sheetViews>
    <sheetView tabSelected="1" view="pageBreakPreview" zoomScale="60" zoomScaleNormal="100" workbookViewId="0">
      <selection activeCell="G24" sqref="G24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" width="34.85546875" style="29" customWidth="1"/>
    <col min="17" max="16384" width="9.140625" style="29"/>
  </cols>
  <sheetData>
    <row r="1" spans="1:16" ht="20.100000000000001" customHeight="1">
      <c r="D1" s="31"/>
      <c r="F1" s="33"/>
    </row>
    <row r="2" spans="1:16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Maj </v>
      </c>
      <c r="E2" s="37">
        <f>'Dane podstawowe'!D8</f>
        <v>2023</v>
      </c>
      <c r="F2" s="38"/>
      <c r="G2" s="38"/>
      <c r="H2" s="38"/>
      <c r="I2" s="38"/>
    </row>
    <row r="3" spans="1:16" ht="20.100000000000001" customHeight="1">
      <c r="E3" s="40"/>
    </row>
    <row r="4" spans="1:16" ht="20.100000000000001" customHeight="1">
      <c r="B4" s="68" t="s">
        <v>430</v>
      </c>
      <c r="C4" s="68"/>
      <c r="D4" s="69"/>
      <c r="E4" s="40"/>
    </row>
    <row r="5" spans="1:16" ht="20.100000000000001" customHeight="1">
      <c r="B5" s="41"/>
      <c r="C5" s="41"/>
      <c r="D5" s="42"/>
      <c r="E5" s="40"/>
    </row>
    <row r="6" spans="1:16" ht="90.75" customHeight="1">
      <c r="B6" s="70" t="s">
        <v>444</v>
      </c>
      <c r="C6" s="70"/>
      <c r="D6" s="70"/>
      <c r="E6" s="70"/>
      <c r="F6" s="70"/>
      <c r="G6" s="71" t="s">
        <v>446</v>
      </c>
      <c r="H6" s="72"/>
      <c r="I6" s="72"/>
      <c r="J6" s="73"/>
      <c r="K6" s="48" t="s">
        <v>447</v>
      </c>
      <c r="L6" s="70" t="s">
        <v>445</v>
      </c>
      <c r="M6" s="70"/>
      <c r="N6" s="70"/>
      <c r="O6" s="43"/>
    </row>
    <row r="7" spans="1:16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6" ht="90.75" customHeight="1">
      <c r="A8" s="47"/>
      <c r="B8" s="55" t="s">
        <v>91</v>
      </c>
      <c r="C8" s="55" t="s">
        <v>269</v>
      </c>
      <c r="D8" s="50" t="s">
        <v>473</v>
      </c>
      <c r="E8" s="58" t="s">
        <v>474</v>
      </c>
      <c r="F8" s="52" t="s">
        <v>475</v>
      </c>
      <c r="G8" s="53">
        <v>108</v>
      </c>
      <c r="H8" s="54" t="s">
        <v>476</v>
      </c>
      <c r="I8" s="53"/>
      <c r="J8" s="53" t="s">
        <v>454</v>
      </c>
      <c r="K8" s="53"/>
      <c r="L8" s="53">
        <v>108</v>
      </c>
      <c r="M8" s="54" t="s">
        <v>477</v>
      </c>
      <c r="N8" s="54"/>
      <c r="O8" s="51">
        <v>45048</v>
      </c>
    </row>
    <row r="9" spans="1:16" ht="90.75" customHeight="1">
      <c r="A9" s="47"/>
      <c r="B9" s="55" t="s">
        <v>91</v>
      </c>
      <c r="C9" s="55" t="s">
        <v>269</v>
      </c>
      <c r="D9" s="50" t="s">
        <v>478</v>
      </c>
      <c r="E9" s="57">
        <v>140101184</v>
      </c>
      <c r="F9" s="52" t="s">
        <v>479</v>
      </c>
      <c r="G9" s="53">
        <v>155</v>
      </c>
      <c r="H9" s="54" t="s">
        <v>476</v>
      </c>
      <c r="I9" s="53"/>
      <c r="J9" s="53" t="s">
        <v>454</v>
      </c>
      <c r="K9" s="53"/>
      <c r="L9" s="53"/>
      <c r="M9" s="54"/>
      <c r="N9" s="54"/>
      <c r="O9" s="51">
        <v>45055</v>
      </c>
    </row>
    <row r="10" spans="1:16" ht="90.75" customHeight="1">
      <c r="B10" s="55" t="s">
        <v>91</v>
      </c>
      <c r="C10" s="55" t="s">
        <v>269</v>
      </c>
      <c r="D10" s="50" t="s">
        <v>480</v>
      </c>
      <c r="E10" s="58" t="s">
        <v>481</v>
      </c>
      <c r="F10" s="52" t="s">
        <v>482</v>
      </c>
      <c r="G10" s="53">
        <v>2454</v>
      </c>
      <c r="H10" s="54" t="s">
        <v>483</v>
      </c>
      <c r="I10" s="53"/>
      <c r="J10" s="53" t="s">
        <v>454</v>
      </c>
      <c r="K10" s="53"/>
      <c r="L10" s="53"/>
      <c r="M10" s="54"/>
      <c r="N10" s="54"/>
      <c r="O10" s="51">
        <v>45063</v>
      </c>
    </row>
    <row r="11" spans="1:16" ht="90.75" customHeight="1">
      <c r="B11" s="55" t="s">
        <v>91</v>
      </c>
      <c r="C11" s="55" t="s">
        <v>269</v>
      </c>
      <c r="D11" s="50" t="s">
        <v>484</v>
      </c>
      <c r="E11" s="58" t="s">
        <v>485</v>
      </c>
      <c r="F11" s="52" t="s">
        <v>482</v>
      </c>
      <c r="G11" s="53">
        <v>1213</v>
      </c>
      <c r="H11" s="54" t="s">
        <v>486</v>
      </c>
      <c r="I11" s="53"/>
      <c r="J11" s="53" t="s">
        <v>454</v>
      </c>
      <c r="K11" s="53"/>
      <c r="L11" s="53"/>
      <c r="M11" s="54"/>
      <c r="N11" s="54"/>
      <c r="O11" s="51">
        <v>45071</v>
      </c>
    </row>
    <row r="12" spans="1:16" ht="90.75" customHeight="1">
      <c r="B12" s="56" t="s">
        <v>91</v>
      </c>
      <c r="C12" s="56" t="s">
        <v>269</v>
      </c>
      <c r="D12" s="50" t="s">
        <v>456</v>
      </c>
      <c r="E12" s="59">
        <v>142656905</v>
      </c>
      <c r="F12" s="59" t="s">
        <v>457</v>
      </c>
      <c r="G12" s="61">
        <v>0</v>
      </c>
      <c r="H12" s="61">
        <v>0</v>
      </c>
      <c r="I12" s="61">
        <v>0</v>
      </c>
      <c r="J12" s="61">
        <v>0</v>
      </c>
      <c r="K12" s="61">
        <v>2</v>
      </c>
      <c r="L12" s="61">
        <v>0</v>
      </c>
      <c r="M12" s="61">
        <v>0</v>
      </c>
      <c r="N12" s="61">
        <v>0</v>
      </c>
      <c r="O12" s="60">
        <v>45078</v>
      </c>
    </row>
    <row r="13" spans="1:16" ht="90.75" customHeight="1">
      <c r="B13" s="56" t="s">
        <v>91</v>
      </c>
      <c r="C13" s="56" t="s">
        <v>269</v>
      </c>
      <c r="D13" s="50" t="s">
        <v>465</v>
      </c>
      <c r="E13" s="58" t="s">
        <v>466</v>
      </c>
      <c r="F13" s="64" t="s">
        <v>464</v>
      </c>
      <c r="G13" s="61">
        <v>0</v>
      </c>
      <c r="H13" s="61">
        <v>0</v>
      </c>
      <c r="I13" s="61">
        <v>0</v>
      </c>
      <c r="J13" s="61">
        <v>0</v>
      </c>
      <c r="K13" s="61">
        <v>26</v>
      </c>
      <c r="L13" s="61">
        <v>0</v>
      </c>
      <c r="M13" s="61">
        <v>0</v>
      </c>
      <c r="N13" s="61">
        <v>0</v>
      </c>
      <c r="O13" s="60">
        <v>45077</v>
      </c>
    </row>
    <row r="14" spans="1:16" ht="90.75" customHeight="1">
      <c r="B14" s="56" t="s">
        <v>91</v>
      </c>
      <c r="C14" s="56" t="s">
        <v>269</v>
      </c>
      <c r="D14" s="50" t="s">
        <v>467</v>
      </c>
      <c r="E14" s="59" t="s">
        <v>468</v>
      </c>
      <c r="F14" s="59" t="s">
        <v>469</v>
      </c>
      <c r="G14" s="59">
        <v>0</v>
      </c>
      <c r="H14" s="59">
        <v>0</v>
      </c>
      <c r="I14" s="59">
        <v>0</v>
      </c>
      <c r="J14" s="59">
        <v>0</v>
      </c>
      <c r="K14" s="59">
        <v>1</v>
      </c>
      <c r="L14" s="59">
        <v>0</v>
      </c>
      <c r="M14" s="59">
        <v>0</v>
      </c>
      <c r="N14" s="59">
        <v>0</v>
      </c>
      <c r="O14" s="60">
        <v>45071</v>
      </c>
    </row>
    <row r="15" spans="1:16" ht="90.75" customHeight="1">
      <c r="B15" s="56" t="s">
        <v>91</v>
      </c>
      <c r="C15" s="56" t="s">
        <v>269</v>
      </c>
      <c r="D15" s="50" t="s">
        <v>470</v>
      </c>
      <c r="E15" s="59" t="s">
        <v>487</v>
      </c>
      <c r="F15" s="52" t="s">
        <v>459</v>
      </c>
      <c r="G15" s="59">
        <v>0</v>
      </c>
      <c r="H15" s="59">
        <v>0</v>
      </c>
      <c r="I15" s="59">
        <v>0</v>
      </c>
      <c r="J15" s="59">
        <v>0</v>
      </c>
      <c r="K15" s="59">
        <v>3</v>
      </c>
      <c r="L15" s="59">
        <v>0</v>
      </c>
      <c r="M15" s="59">
        <v>0</v>
      </c>
      <c r="N15" s="59">
        <v>0</v>
      </c>
      <c r="O15" s="60">
        <v>45071</v>
      </c>
    </row>
    <row r="16" spans="1:16" ht="90.75" customHeight="1">
      <c r="B16" s="56" t="s">
        <v>91</v>
      </c>
      <c r="C16" s="56" t="s">
        <v>269</v>
      </c>
      <c r="D16" s="50" t="s">
        <v>488</v>
      </c>
      <c r="E16" s="59">
        <v>147193500</v>
      </c>
      <c r="F16" s="52" t="s">
        <v>458</v>
      </c>
      <c r="G16" s="61">
        <v>0</v>
      </c>
      <c r="H16" s="61">
        <v>0</v>
      </c>
      <c r="I16" s="61">
        <v>0</v>
      </c>
      <c r="J16" s="61">
        <v>0</v>
      </c>
      <c r="K16" s="61">
        <v>1</v>
      </c>
      <c r="L16" s="61">
        <v>0</v>
      </c>
      <c r="M16" s="61">
        <v>0</v>
      </c>
      <c r="N16" s="61">
        <v>0</v>
      </c>
      <c r="O16" s="60">
        <v>45076</v>
      </c>
      <c r="P16" s="30"/>
    </row>
    <row r="17" spans="2:15" ht="90.75" customHeight="1">
      <c r="B17" s="56" t="s">
        <v>91</v>
      </c>
      <c r="C17" s="56" t="s">
        <v>269</v>
      </c>
      <c r="D17" s="50" t="s">
        <v>471</v>
      </c>
      <c r="E17" s="59">
        <v>11189902</v>
      </c>
      <c r="F17" s="52" t="s">
        <v>472</v>
      </c>
      <c r="G17" s="61">
        <v>0</v>
      </c>
      <c r="H17" s="61">
        <v>0</v>
      </c>
      <c r="I17" s="61">
        <v>0</v>
      </c>
      <c r="J17" s="61">
        <v>0</v>
      </c>
      <c r="K17" s="61">
        <v>24</v>
      </c>
      <c r="L17" s="61">
        <v>0</v>
      </c>
      <c r="M17" s="61">
        <v>0</v>
      </c>
      <c r="N17" s="61">
        <v>0</v>
      </c>
      <c r="O17" s="60">
        <v>45071</v>
      </c>
    </row>
    <row r="18" spans="2:15" ht="90.75" customHeight="1">
      <c r="B18" s="56" t="s">
        <v>91</v>
      </c>
      <c r="C18" s="56" t="s">
        <v>269</v>
      </c>
      <c r="D18" s="50" t="s">
        <v>489</v>
      </c>
      <c r="E18" s="62" t="s">
        <v>490</v>
      </c>
      <c r="F18" s="52" t="s">
        <v>491</v>
      </c>
      <c r="G18" s="61">
        <v>0</v>
      </c>
      <c r="H18" s="61">
        <v>0</v>
      </c>
      <c r="I18" s="61">
        <v>0</v>
      </c>
      <c r="J18" s="61">
        <v>0</v>
      </c>
      <c r="K18" s="61">
        <v>11</v>
      </c>
      <c r="L18" s="61">
        <v>0</v>
      </c>
      <c r="M18" s="61">
        <v>0</v>
      </c>
      <c r="N18" s="61">
        <v>0</v>
      </c>
      <c r="O18" s="60">
        <v>45071</v>
      </c>
    </row>
    <row r="19" spans="2:15" ht="90.75" customHeight="1">
      <c r="B19" s="56" t="s">
        <v>91</v>
      </c>
      <c r="C19" s="56" t="s">
        <v>269</v>
      </c>
      <c r="D19" s="50" t="s">
        <v>462</v>
      </c>
      <c r="E19" s="62" t="s">
        <v>492</v>
      </c>
      <c r="F19" s="52" t="s">
        <v>463</v>
      </c>
      <c r="G19" s="61">
        <v>0</v>
      </c>
      <c r="H19" s="61">
        <v>0</v>
      </c>
      <c r="I19" s="61">
        <v>0</v>
      </c>
      <c r="J19" s="61">
        <v>0</v>
      </c>
      <c r="K19" s="61">
        <v>21</v>
      </c>
      <c r="L19" s="61">
        <v>0</v>
      </c>
      <c r="M19" s="61">
        <v>0</v>
      </c>
      <c r="N19" s="61">
        <v>0</v>
      </c>
      <c r="O19" s="60">
        <v>45071</v>
      </c>
    </row>
    <row r="20" spans="2:15" ht="90.75" customHeight="1">
      <c r="B20" s="56" t="s">
        <v>91</v>
      </c>
      <c r="C20" s="56" t="s">
        <v>269</v>
      </c>
      <c r="D20" s="50" t="s">
        <v>493</v>
      </c>
      <c r="E20" s="62" t="s">
        <v>494</v>
      </c>
      <c r="F20" s="52" t="s">
        <v>495</v>
      </c>
      <c r="G20" s="61">
        <v>0</v>
      </c>
      <c r="H20" s="61">
        <v>0</v>
      </c>
      <c r="I20" s="61">
        <v>0</v>
      </c>
      <c r="J20" s="61">
        <v>0</v>
      </c>
      <c r="K20" s="63">
        <v>1</v>
      </c>
      <c r="L20" s="61">
        <v>0</v>
      </c>
      <c r="M20" s="61">
        <v>0</v>
      </c>
      <c r="N20" s="61">
        <v>0</v>
      </c>
      <c r="O20" s="60">
        <v>45075</v>
      </c>
    </row>
    <row r="21" spans="2:15" ht="90.75" customHeight="1">
      <c r="B21" s="56" t="s">
        <v>91</v>
      </c>
      <c r="C21" s="56" t="s">
        <v>269</v>
      </c>
      <c r="D21" s="50" t="s">
        <v>496</v>
      </c>
      <c r="E21" s="62" t="s">
        <v>497</v>
      </c>
      <c r="F21" s="52" t="s">
        <v>458</v>
      </c>
      <c r="G21" s="61">
        <v>0</v>
      </c>
      <c r="H21" s="61">
        <v>0</v>
      </c>
      <c r="I21" s="61">
        <v>0</v>
      </c>
      <c r="J21" s="61">
        <v>0</v>
      </c>
      <c r="K21" s="61">
        <v>8</v>
      </c>
      <c r="L21" s="61">
        <v>0</v>
      </c>
      <c r="M21" s="61">
        <v>0</v>
      </c>
      <c r="N21" s="61">
        <v>0</v>
      </c>
      <c r="O21" s="60">
        <v>45076</v>
      </c>
    </row>
    <row r="22" spans="2:15" ht="90.75" customHeight="1">
      <c r="B22" s="49" t="s">
        <v>92</v>
      </c>
      <c r="C22" s="56" t="s">
        <v>269</v>
      </c>
      <c r="D22" s="66" t="s">
        <v>460</v>
      </c>
      <c r="E22" s="65">
        <v>10311548</v>
      </c>
      <c r="F22" s="52" t="s">
        <v>461</v>
      </c>
      <c r="G22" s="29">
        <v>0</v>
      </c>
      <c r="H22" s="61">
        <v>0</v>
      </c>
      <c r="I22" s="61">
        <v>0</v>
      </c>
      <c r="J22" s="61">
        <v>0</v>
      </c>
      <c r="K22" s="52">
        <v>31</v>
      </c>
      <c r="L22" s="61"/>
      <c r="M22" s="61"/>
      <c r="N22" s="61"/>
      <c r="O22" s="60"/>
    </row>
    <row r="23" spans="2:15" ht="90.75" customHeight="1">
      <c r="G23" s="30">
        <f>SUM(G8:G22)</f>
        <v>3930</v>
      </c>
      <c r="H23" s="30">
        <f t="shared" ref="G23:J23" si="0">SUM(H12:H22)</f>
        <v>0</v>
      </c>
      <c r="I23" s="30">
        <f t="shared" si="0"/>
        <v>0</v>
      </c>
      <c r="J23" s="30">
        <f t="shared" si="0"/>
        <v>0</v>
      </c>
      <c r="K23" s="30">
        <f>SUM(K12:K22)</f>
        <v>129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3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2023-06-12T10:04:23Z</dcterms:modified>
</cp:coreProperties>
</file>
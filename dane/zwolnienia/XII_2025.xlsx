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BDA35F12-7B17-45C2-81C8-2376FA4DD6F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3" i="5" l="1"/>
  <c r="L33" i="5"/>
  <c r="G33" i="5"/>
  <c r="D2" i="5" l="1"/>
  <c r="C2" i="5"/>
</calcChain>
</file>

<file path=xl/sharedStrings.xml><?xml version="1.0" encoding="utf-8"?>
<sst xmlns="http://schemas.openxmlformats.org/spreadsheetml/2006/main" count="576" uniqueCount="512">
  <si>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</si>
  <si>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</si>
  <si>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</si>
  <si>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</si>
  <si>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</si>
  <si>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</si>
  <si>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</si>
  <si>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</si>
  <si>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</si>
  <si>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</si>
  <si>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</si>
  <si>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</si>
  <si>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</si>
  <si>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</si>
  <si>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</si>
  <si>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</si>
  <si>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</si>
  <si>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</si>
  <si>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</si>
  <si>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</si>
  <si>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</si>
  <si>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</si>
  <si>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</si>
  <si>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</si>
  <si>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</si>
  <si>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</si>
  <si>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</si>
  <si>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</si>
  <si>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</si>
  <si>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</si>
  <si>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</si>
  <si>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</si>
  <si>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</si>
  <si>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</si>
  <si>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</si>
  <si>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</si>
  <si>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</si>
  <si>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</si>
  <si>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</si>
  <si>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</si>
  <si>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</si>
  <si>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</si>
  <si>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</si>
  <si>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</si>
  <si>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</si>
  <si>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</si>
  <si>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</si>
  <si>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</si>
  <si>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</si>
  <si>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</si>
  <si>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</si>
  <si>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</si>
  <si>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</si>
  <si>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</si>
  <si>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</si>
  <si>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</si>
  <si>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</si>
  <si>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</si>
  <si>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</si>
  <si>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</si>
  <si>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</si>
  <si>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</si>
  <si>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</si>
  <si>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</si>
  <si>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</si>
  <si>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</si>
  <si>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</si>
  <si>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</si>
  <si>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</si>
  <si>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</si>
  <si>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</si>
  <si>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</si>
  <si>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</si>
  <si>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</si>
  <si>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</si>
  <si>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</si>
  <si>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</si>
  <si>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</si>
  <si>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</si>
  <si>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</si>
  <si>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</si>
  <si>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</si>
  <si>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</si>
  <si>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</si>
  <si>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</si>
  <si>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</si>
  <si>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</si>
  <si>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</si>
  <si>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</si>
  <si>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</si>
  <si>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</si>
  <si>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</si>
  <si>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</si>
  <si>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</si>
  <si>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</si>
  <si>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</si>
  <si>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</si>
  <si>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</si>
  <si>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</si>
  <si>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</si>
  <si>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</si>
  <si>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</si>
  <si>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</si>
  <si>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</si>
  <si>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</si>
  <si>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</si>
  <si>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</si>
  <si>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</si>
  <si>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</si>
  <si>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</si>
  <si>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</si>
  <si>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</si>
  <si>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</si>
  <si>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</si>
  <si>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</si>
  <si>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</si>
  <si>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</si>
  <si>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</si>
  <si>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</si>
  <si>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</si>
  <si>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</si>
  <si>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</si>
  <si>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</si>
  <si>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</si>
  <si>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</si>
  <si>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</si>
  <si>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</si>
  <si>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</si>
  <si>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</si>
  <si>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</si>
  <si>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</si>
  <si>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</si>
  <si>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</si>
  <si>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</si>
  <si>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</si>
  <si>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</si>
  <si>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</si>
  <si>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</si>
  <si>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</si>
  <si>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</si>
  <si>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</si>
  <si>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</si>
  <si>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</si>
  <si>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</si>
  <si>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</si>
  <si>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</si>
  <si>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</si>
  <si>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</si>
  <si>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</si>
  <si>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</si>
  <si>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</si>
  <si>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</si>
  <si>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</si>
  <si>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</si>
  <si>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</si>
  <si>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</si>
  <si>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</si>
  <si>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</si>
  <si>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</si>
  <si>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</si>
  <si>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</si>
  <si>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</si>
  <si>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</si>
  <si>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</si>
  <si>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</si>
  <si>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</si>
  <si>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</si>
  <si>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</si>
  <si>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</si>
  <si>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</si>
  <si>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</si>
  <si>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</si>
  <si>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</si>
  <si>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</si>
  <si>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</si>
  <si>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</si>
  <si>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</si>
  <si>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</si>
  <si>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</si>
  <si>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</si>
  <si>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</si>
  <si>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</si>
  <si>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</si>
  <si>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</si>
  <si>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</si>
  <si>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</si>
  <si>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</si>
  <si>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</si>
  <si>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</si>
  <si>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</si>
  <si>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</si>
  <si>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</si>
  <si>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</si>
  <si>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</si>
  <si>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</si>
  <si>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</si>
  <si>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</si>
  <si>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</si>
  <si>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</si>
  <si>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</si>
  <si>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</si>
  <si>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</si>
  <si>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</si>
  <si>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</si>
  <si>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</si>
  <si>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</si>
  <si>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</si>
  <si>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</si>
  <si>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</si>
  <si>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</si>
  <si>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</si>
  <si>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</si>
  <si>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</si>
  <si>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</si>
  <si>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</si>
  <si>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</si>
  <si>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</si>
  <si>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</si>
  <si>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</si>
  <si>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</si>
  <si>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</si>
  <si>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</si>
  <si>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</si>
  <si>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</si>
  <si>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</si>
  <si>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</si>
  <si>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</si>
  <si>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</si>
  <si>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</si>
  <si>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</si>
  <si>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</si>
  <si>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</si>
  <si>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</si>
  <si>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</si>
  <si>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</si>
  <si>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</si>
  <si>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</si>
  <si>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</si>
  <si>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</si>
  <si>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</si>
  <si>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</si>
  <si>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</si>
  <si>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</si>
  <si>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</si>
  <si>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</si>
  <si>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</si>
  <si>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</si>
  <si>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</si>
  <si>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</si>
  <si>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</si>
  <si>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</si>
  <si>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</si>
  <si>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</si>
  <si>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</si>
  <si>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</si>
  <si>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</si>
  <si>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</si>
  <si>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</si>
  <si>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</si>
  <si>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</si>
  <si>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</si>
  <si>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</si>
  <si>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</si>
  <si>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</si>
  <si>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</si>
  <si>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</si>
  <si>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</si>
  <si>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</si>
  <si>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</si>
  <si>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</si>
  <si>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</si>
  <si>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</si>
  <si>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</si>
  <si>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</si>
  <si>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</si>
  <si>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</si>
  <si>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</si>
  <si>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</si>
  <si>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</si>
  <si>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</si>
  <si>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</si>
  <si>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</si>
  <si>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</si>
  <si>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</si>
  <si>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</si>
  <si>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</si>
  <si>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</si>
  <si>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</si>
  <si>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</si>
  <si>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</si>
  <si>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</si>
  <si>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</si>
  <si>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</si>
  <si>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</si>
  <si>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</si>
  <si>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</si>
  <si>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</si>
  <si>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</si>
  <si>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</si>
  <si>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</si>
  <si>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</si>
  <si>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</si>
  <si>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</si>
  <si>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</si>
  <si>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</si>
  <si>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</si>
  <si>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</si>
  <si>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</si>
  <si>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</si>
  <si>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</si>
  <si>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</si>
  <si>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</si>
  <si>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</si>
  <si>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</si>
  <si>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</si>
  <si>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</si>
  <si>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</si>
  <si>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</si>
  <si>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</si>
  <si>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</si>
  <si>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</si>
  <si>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</si>
  <si>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</si>
  <si>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</si>
  <si>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</si>
  <si>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</si>
  <si>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</si>
  <si>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</si>
  <si>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</si>
  <si>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</si>
  <si>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</si>
  <si>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</si>
  <si>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</si>
  <si>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</si>
  <si>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</si>
  <si>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</si>
  <si>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</si>
  <si>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</si>
  <si>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</si>
  <si>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</si>
  <si>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</si>
  <si>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</si>
  <si>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</si>
  <si>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</si>
  <si>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</si>
  <si>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</si>
  <si>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</si>
  <si>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</si>
  <si>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</si>
  <si>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</si>
  <si>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</si>
  <si>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</si>
  <si>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</si>
  <si>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</si>
  <si>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</si>
  <si>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</si>
  <si>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</si>
  <si>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</si>
  <si>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</si>
  <si>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</si>
  <si>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</si>
  <si>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</si>
  <si>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</si>
  <si>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</si>
  <si>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</si>
  <si>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</si>
  <si>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</si>
  <si>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</si>
  <si>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</si>
  <si>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</si>
  <si>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</si>
  <si>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</si>
  <si>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</si>
  <si>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</si>
  <si>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</si>
  <si>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</si>
  <si>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</si>
  <si>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</si>
  <si>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</si>
  <si>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</si>
  <si>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</si>
  <si>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</si>
  <si>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</si>
  <si>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</si>
  <si>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</si>
  <si>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</si>
  <si>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</si>
  <si>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</si>
  <si>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</si>
  <si>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</si>
  <si>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</si>
  <si>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</si>
  <si>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</si>
  <si>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</si>
  <si>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</si>
  <si>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</si>
  <si>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</si>
  <si>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</si>
  <si>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</si>
  <si>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</si>
  <si>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</si>
  <si>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</si>
  <si>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</si>
  <si>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</si>
  <si>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</si>
  <si>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</si>
  <si>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</si>
  <si>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</si>
  <si>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</si>
  <si>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</si>
  <si>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</si>
  <si>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</si>
  <si>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</si>
  <si>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</si>
  <si>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</si>
  <si>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</si>
  <si>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</si>
  <si>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</si>
  <si>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</si>
  <si>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</si>
  <si>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</si>
  <si>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</si>
  <si>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</si>
  <si>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</si>
  <si>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</si>
  <si>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</si>
  <si>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</si>
  <si>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</si>
  <si>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</si>
  <si>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</si>
  <si>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</si>
  <si>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</si>
  <si>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</si>
  <si>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</si>
  <si>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</si>
  <si>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</si>
  <si>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</si>
  <si>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</si>
  <si>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</si>
  <si>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</si>
  <si>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</si>
  <si>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</si>
  <si>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</si>
  <si>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</si>
  <si>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</si>
  <si>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</si>
  <si>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</si>
  <si>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</si>
  <si>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</si>
  <si>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</si>
  <si>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</si>
  <si>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</si>
  <si>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</si>
  <si>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48 22 578 44 17</t>
  </si>
  <si>
    <t>4651Z</t>
  </si>
  <si>
    <t>6419Z</t>
  </si>
  <si>
    <t>6619Z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</si>
  <si>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</si>
  <si>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POCZTA POLSKA S.A.                                ul. Rodziny Hiszpańskich 8,                                       00-940 Warszawa</t>
  </si>
  <si>
    <t>5310Z</t>
  </si>
  <si>
    <t>Hubert Samul</t>
  </si>
  <si>
    <t>Fujitsu  Technology Solutions sp. z o.o.                                                  ul. Krakowiaków 36                                   02-255 Warszawa</t>
  </si>
  <si>
    <t>7311Z</t>
  </si>
  <si>
    <t>4711Z</t>
  </si>
  <si>
    <t>CASINOS POLAND CP                sp. z o.o.                                             ul. Wolność 3A                                                        01-018 Warszawa</t>
  </si>
  <si>
    <t>9200Z</t>
  </si>
  <si>
    <t>WYBORCZA sp. z o.o                      ul. Czerska 8/10                          00-732 Warszawa</t>
  </si>
  <si>
    <t>6312Z</t>
  </si>
  <si>
    <t>Capital Service S.A.</t>
  </si>
  <si>
    <t>64.92.Z</t>
  </si>
  <si>
    <t>30.IV.2026 r.</t>
  </si>
  <si>
    <t>nie</t>
  </si>
  <si>
    <t xml:space="preserve">15.12.2025 r. </t>
  </si>
  <si>
    <t>Otwocki</t>
  </si>
  <si>
    <t>Mazowieckie</t>
  </si>
  <si>
    <t>TEUFELBERGER STRAPPING SPÓŁKA Z OGRANICZONĄ ODPOWIEDZIALNOŚCIĄ</t>
  </si>
  <si>
    <t>521514394</t>
  </si>
  <si>
    <t>22.22.Z</t>
  </si>
  <si>
    <t>Orange Polska S.A.                               Al. Jerozolimskie 160,                                         02-326 Warszawa</t>
  </si>
  <si>
    <t>6110Z</t>
  </si>
  <si>
    <t>I- XII. 2026</t>
  </si>
  <si>
    <t xml:space="preserve">Pracodawca zapewni  pracownikom program outplacementowy-               w ramch którego oferuje szkolenia            i pomoc doradczą </t>
  </si>
  <si>
    <t>TALKIN THINGS S.A.                         ul. Muszkieterów 15A                                02-273 Warszawa</t>
  </si>
  <si>
    <t>2732Z</t>
  </si>
  <si>
    <t>XII.2025</t>
  </si>
  <si>
    <t>PLAYTIKA Poland sp. z o.o.                                         ul. Grzybowska 56,                                       00-844 Warszawa</t>
  </si>
  <si>
    <t>6201Z</t>
  </si>
  <si>
    <t>I-II.2026</t>
  </si>
  <si>
    <t>11.12..2025</t>
  </si>
  <si>
    <t>CETES COSMETICS POLAND sp. z o.o.                                      ul. Bohaterów Warszawy 2                                      02-495 Warszawa</t>
  </si>
  <si>
    <t>2042Z</t>
  </si>
  <si>
    <t>MOLECURE S.A.                             ul. Żwirki i Wigury 101                          02-089 Warszawa</t>
  </si>
  <si>
    <t>7211Z</t>
  </si>
  <si>
    <t>Carrefor Polska sp. z o.o.                                           ul. Targowa 72,                                              03-734 Warszawa</t>
  </si>
  <si>
    <t>CEMEX POLSKA sp. z o. o.                      ul. Krakowiaków 46                                02-255 Warszawa</t>
  </si>
  <si>
    <t>2351Z</t>
  </si>
  <si>
    <t>Blue Yonder Poland sp. z o.o.     ul. Postępu 17B                              02-676 Warszawa</t>
  </si>
  <si>
    <t>6202Z</t>
  </si>
  <si>
    <t>Bank PKO S.A.                           ul. Żubra 1                                         01-066 Warszawa</t>
  </si>
  <si>
    <t>POCZTA POLSKA FINANSE S.A. ul. Rodziny Hiszpańskich 8        00-940 Warszawa</t>
  </si>
  <si>
    <t>6622Z</t>
  </si>
  <si>
    <t>PROWLY.COM sp. z o.o.                 ul. A.J. Madalińskiego 71/1                           02-549 Warszawa</t>
  </si>
  <si>
    <t>NOKIA SOLUTIONS AND NETWORKS sp. z o.o.                                                          ul. Rodziny Hiszpańskich 8                                02-685 Warszawa</t>
  </si>
  <si>
    <t>6120Z</t>
  </si>
  <si>
    <t>PFIZER POLSKA sp. zo.o.                ul. Żwirki i Wigury 16B               02-092 Warszawa</t>
  </si>
  <si>
    <t>SUPER ZOO sp. zo.o.                         ul. Chłodna 51                                 00-867 Warszawa</t>
  </si>
  <si>
    <t>4776Z</t>
  </si>
  <si>
    <t>ORSTED POLSKA sp. o.o.                  ul. Chmielna 73                            00-801 Warszawa</t>
  </si>
  <si>
    <t>ORSTED POLSKA OF SERVICES sp.z o.o.                                          ul. Chmielna 73                                     00-801 Warszawa</t>
  </si>
  <si>
    <t>IFX(UK) LTD sp. z o.o.- Oddział   w Polsce                                              ul. Senatorska 2                            00-075 Warszawa</t>
  </si>
  <si>
    <t>6499Z</t>
  </si>
  <si>
    <t>LUMEN TECHNOLOGIES POLAND sp. z o.o.                                         ul. Złota 59                                              00-120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</si>
</sst>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2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3.5"/>
      <name val="Calibri"/>
      <family val="2"/>
      <charset val="238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333333"/>
      <name val="Arial"/>
      <family val="2"/>
      <charset val="238"/>
    </font>
    <font>
      <sz val="12"/>
      <color rgb="FF000000"/>
      <name val="Calibri"/>
      <family val="2"/>
      <charset val="238"/>
      <scheme val="minor"/>
    </font>
    <font>
      <sz val="12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 applyNumberFormat="0" applyFill="0" applyBorder="0" applyAlignment="0" applyProtection="0"/>
    <xf numFmtId="0" fontId="3" fillId="0" borderId="0"/>
    <xf numFmtId="164" fontId="12" fillId="0" borderId="0" applyBorder="0" applyProtection="0"/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97">
    <xf numFmtId="0" fontId="0" fillId="0" borderId="0" xfId="0"/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4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2" fillId="2" borderId="11" xfId="0" applyFont="1" applyFill="1" applyBorder="1" applyAlignment="1">
      <alignment horizontal="left" vertical="center"/>
    </xf>
    <xf numFmtId="49" fontId="3" fillId="0" borderId="0" xfId="0" applyNumberFormat="1" applyFont="1"/>
    <xf numFmtId="49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right"/>
    </xf>
    <xf numFmtId="0" fontId="0" fillId="0" borderId="5" xfId="0" applyBorder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3" fillId="2" borderId="9" xfId="0" applyFont="1" applyFill="1" applyBorder="1"/>
    <xf numFmtId="0" fontId="3" fillId="0" borderId="0" xfId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10" fillId="2" borderId="1" xfId="0" applyFont="1" applyFill="1" applyBorder="1"/>
    <xf numFmtId="0" fontId="11" fillId="0" borderId="1" xfId="2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3" fontId="14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1" xfId="0" applyNumberFormat="1" applyFont="1" applyBorder="1"/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2" fontId="7" fillId="0" borderId="1" xfId="0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14" fontId="16" fillId="4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top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21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top" wrapText="1"/>
    </xf>
    <xf numFmtId="14" fontId="23" fillId="4" borderId="15" xfId="0" applyNumberFormat="1" applyFont="1" applyFill="1" applyBorder="1" applyAlignment="1">
      <alignment horizontal="center" vertical="center" wrapText="1"/>
    </xf>
    <xf numFmtId="14" fontId="23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12" fontId="7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4" borderId="0" xfId="0" applyFont="1" applyFill="1" applyAlignment="1">
      <alignment horizontal="left" vertical="center" wrapText="1"/>
    </xf>
    <xf numFmtId="12" fontId="15" fillId="4" borderId="16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</cellXfs>
  <cellStyles count="7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Hiperłącze 2 2" xfId="6" xr:uid="{2CF193E3-8353-4B88-AB2C-F2CF53A31E1B}"/>
    <cellStyle name="Normalny" xfId="0" builtinId="0"/>
    <cellStyle name="Normalny 2" xfId="1" xr:uid="{00000000-0005-0000-0000-000002000000}"/>
    <cellStyle name="Normalny 3" xfId="3" xr:uid="{FD27F33F-24F2-4826-B60F-6CAF238E29A9}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abSelected="1"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292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460</v>
      </c>
      <c r="E13" s="33" t="s">
        <v>452</v>
      </c>
      <c r="F13" s="37" t="s">
        <v>453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91" t="s">
        <v>440</v>
      </c>
      <c r="D22" s="13"/>
    </row>
    <row r="23" spans="3:6" ht="26.25">
      <c r="C23" s="91"/>
      <c r="D23" s="21" t="s">
        <v>280</v>
      </c>
    </row>
    <row r="24" spans="3:6" ht="28.5" customHeight="1">
      <c r="C24" s="91"/>
    </row>
    <row r="25" spans="3:6">
      <c r="C25" s="23"/>
    </row>
    <row r="26" spans="3:6">
      <c r="C26" s="91" t="s">
        <v>441</v>
      </c>
    </row>
    <row r="27" spans="3:6">
      <c r="C27" s="91"/>
    </row>
    <row r="28" spans="3:6" ht="23.25" customHeight="1">
      <c r="C28" s="91"/>
    </row>
    <row r="29" spans="3:6">
      <c r="C29" s="23"/>
    </row>
    <row r="30" spans="3:6" ht="12.75" customHeight="1">
      <c r="C30" s="91" t="s">
        <v>442</v>
      </c>
    </row>
    <row r="31" spans="3:6" ht="12.75" customHeight="1">
      <c r="C31" s="91"/>
    </row>
    <row r="32" spans="3:6" ht="21.75" customHeight="1">
      <c r="C32" s="91"/>
    </row>
    <row r="33" spans="3:3" ht="14.25" customHeight="1">
      <c r="C33" s="91"/>
    </row>
    <row r="34" spans="3:3">
      <c r="C34" s="91"/>
    </row>
    <row r="35" spans="3:3">
      <c r="C35" s="91"/>
    </row>
    <row r="37" spans="3:3" ht="12.75" customHeight="1">
      <c r="C37" s="91" t="s">
        <v>451</v>
      </c>
    </row>
    <row r="38" spans="3:3" ht="12.75" customHeight="1">
      <c r="C38" s="91"/>
    </row>
    <row r="39" spans="3:3" ht="19.5" customHeight="1">
      <c r="C39" s="91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3"/>
  <sheetViews>
    <sheetView topLeftCell="D7" zoomScale="90" zoomScaleNormal="90" workbookViewId="0">
      <selection activeCell="N33" sqref="N33"/>
    </sheetView>
  </sheetViews>
  <sheetFormatPr defaultRowHeight="12.75"/>
  <cols>
    <col min="1" max="1" width="5.42578125" customWidth="1"/>
    <col min="2" max="2" width="21.5703125" customWidth="1"/>
    <col min="3" max="3" width="21.5703125" style="35" customWidth="1"/>
    <col min="4" max="4" width="37.85546875" customWidth="1"/>
    <col min="5" max="5" width="37.28515625" customWidth="1"/>
    <col min="6" max="6" width="13.140625" style="35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29" t="str">
        <f>'Dane podstawowe'!$D$7</f>
        <v xml:space="preserve">Grudzień </v>
      </c>
      <c r="E2" s="30">
        <v>2025</v>
      </c>
      <c r="F2" s="36"/>
      <c r="G2" s="13"/>
      <c r="H2" s="13"/>
      <c r="I2" s="13"/>
    </row>
    <row r="4" spans="2:15">
      <c r="B4" s="92" t="s">
        <v>431</v>
      </c>
      <c r="C4" s="92"/>
      <c r="D4" s="92"/>
    </row>
    <row r="5" spans="2:15">
      <c r="B5" s="28"/>
      <c r="C5" s="34"/>
      <c r="D5" s="28"/>
    </row>
    <row r="6" spans="2:15" ht="15">
      <c r="B6" s="93" t="s">
        <v>446</v>
      </c>
      <c r="C6" s="93"/>
      <c r="D6" s="93"/>
      <c r="E6" s="93"/>
      <c r="F6" s="93"/>
      <c r="G6" s="94" t="s">
        <v>448</v>
      </c>
      <c r="H6" s="95"/>
      <c r="I6" s="95"/>
      <c r="J6" s="96"/>
      <c r="K6" s="32" t="s">
        <v>449</v>
      </c>
      <c r="L6" s="93" t="s">
        <v>447</v>
      </c>
      <c r="M6" s="93"/>
      <c r="N6" s="93"/>
      <c r="O6" s="31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8" customFormat="1" ht="34.9" customHeight="1">
      <c r="B8" s="48" t="s">
        <v>87</v>
      </c>
      <c r="C8" s="48" t="s">
        <v>269</v>
      </c>
      <c r="D8" s="47" t="s">
        <v>468</v>
      </c>
      <c r="E8" s="46">
        <v>145914495</v>
      </c>
      <c r="F8" s="48" t="s">
        <v>469</v>
      </c>
      <c r="G8" s="50">
        <v>35</v>
      </c>
      <c r="H8" s="50" t="s">
        <v>470</v>
      </c>
      <c r="I8" s="49">
        <v>0</v>
      </c>
      <c r="J8" s="50" t="s">
        <v>471</v>
      </c>
      <c r="K8" s="49">
        <v>0</v>
      </c>
      <c r="L8" s="49">
        <v>0</v>
      </c>
      <c r="M8" s="49">
        <v>0</v>
      </c>
      <c r="N8" s="49"/>
      <c r="O8" s="51" t="s">
        <v>472</v>
      </c>
    </row>
    <row r="9" spans="2:15" s="38" customFormat="1" ht="34.9" customHeight="1">
      <c r="B9" s="44" t="s">
        <v>473</v>
      </c>
      <c r="C9" s="44" t="s">
        <v>474</v>
      </c>
      <c r="D9" s="39" t="s">
        <v>475</v>
      </c>
      <c r="E9" s="45" t="s">
        <v>476</v>
      </c>
      <c r="F9" s="39" t="s">
        <v>477</v>
      </c>
      <c r="G9" s="39"/>
      <c r="H9" s="43"/>
      <c r="I9" s="40"/>
      <c r="J9" s="41" t="s">
        <v>471</v>
      </c>
      <c r="K9" s="40">
        <v>32</v>
      </c>
      <c r="L9" s="42"/>
      <c r="M9" s="40"/>
      <c r="N9" s="40"/>
      <c r="O9" s="43">
        <v>46022</v>
      </c>
    </row>
    <row r="10" spans="2:15" s="38" customFormat="1" ht="34.9" customHeight="1">
      <c r="B10" s="53" t="s">
        <v>91</v>
      </c>
      <c r="C10" s="57" t="s">
        <v>269</v>
      </c>
      <c r="D10" s="86" t="s">
        <v>478</v>
      </c>
      <c r="E10" s="64">
        <v>12100784</v>
      </c>
      <c r="F10" s="64" t="s">
        <v>479</v>
      </c>
      <c r="G10" s="64">
        <v>540</v>
      </c>
      <c r="H10" s="65" t="s">
        <v>480</v>
      </c>
      <c r="I10" s="54"/>
      <c r="J10" s="68" t="s">
        <v>471</v>
      </c>
      <c r="K10" s="69"/>
      <c r="L10" s="70">
        <v>540</v>
      </c>
      <c r="M10" s="71" t="s">
        <v>481</v>
      </c>
      <c r="N10" s="72"/>
      <c r="O10" s="78">
        <v>45996</v>
      </c>
    </row>
    <row r="11" spans="2:15" s="38" customFormat="1" ht="34.9" customHeight="1">
      <c r="B11" s="53" t="s">
        <v>91</v>
      </c>
      <c r="C11" s="57" t="s">
        <v>269</v>
      </c>
      <c r="D11" s="80" t="s">
        <v>482</v>
      </c>
      <c r="E11" s="66">
        <v>147430324</v>
      </c>
      <c r="F11" s="62" t="s">
        <v>483</v>
      </c>
      <c r="G11" s="62">
        <v>18</v>
      </c>
      <c r="H11" s="67" t="s">
        <v>484</v>
      </c>
      <c r="I11" s="73"/>
      <c r="J11" s="68" t="s">
        <v>471</v>
      </c>
      <c r="K11" s="74"/>
      <c r="L11" s="75"/>
      <c r="M11" s="71"/>
      <c r="N11" s="74"/>
      <c r="O11" s="79">
        <v>45992</v>
      </c>
    </row>
    <row r="12" spans="2:15" s="38" customFormat="1" ht="34.9" customHeight="1">
      <c r="B12" s="53" t="s">
        <v>91</v>
      </c>
      <c r="C12" s="57" t="s">
        <v>269</v>
      </c>
      <c r="D12" s="86" t="s">
        <v>485</v>
      </c>
      <c r="E12" s="66">
        <v>385427355</v>
      </c>
      <c r="F12" s="62" t="s">
        <v>486</v>
      </c>
      <c r="G12" s="62">
        <v>135</v>
      </c>
      <c r="H12" s="67" t="s">
        <v>487</v>
      </c>
      <c r="I12" s="54"/>
      <c r="J12" s="68" t="s">
        <v>471</v>
      </c>
      <c r="K12" s="69"/>
      <c r="L12" s="76">
        <v>135</v>
      </c>
      <c r="M12" s="71" t="s">
        <v>481</v>
      </c>
      <c r="N12" s="72"/>
      <c r="O12" s="79" t="s">
        <v>488</v>
      </c>
    </row>
    <row r="13" spans="2:15" s="38" customFormat="1" ht="53.25" customHeight="1">
      <c r="B13" s="53" t="s">
        <v>91</v>
      </c>
      <c r="C13" s="57" t="s">
        <v>269</v>
      </c>
      <c r="D13" s="58" t="s">
        <v>457</v>
      </c>
      <c r="E13" s="56">
        <v>367280630</v>
      </c>
      <c r="F13" s="56" t="s">
        <v>456</v>
      </c>
      <c r="G13" s="59">
        <v>0</v>
      </c>
      <c r="H13" s="56">
        <v>0</v>
      </c>
      <c r="I13" s="56">
        <v>0</v>
      </c>
      <c r="J13" s="56">
        <v>0</v>
      </c>
      <c r="K13" s="54">
        <v>10</v>
      </c>
      <c r="L13" s="63">
        <v>0</v>
      </c>
      <c r="M13" s="64">
        <v>0</v>
      </c>
      <c r="N13" s="54">
        <v>0</v>
      </c>
      <c r="O13" s="55">
        <v>46014</v>
      </c>
    </row>
    <row r="14" spans="2:15" s="38" customFormat="1" ht="45.75" customHeight="1">
      <c r="B14" s="53" t="s">
        <v>91</v>
      </c>
      <c r="C14" s="57" t="s">
        <v>269</v>
      </c>
      <c r="D14" s="60" t="s">
        <v>458</v>
      </c>
      <c r="E14" s="56">
        <v>10684960</v>
      </c>
      <c r="F14" s="57" t="s">
        <v>459</v>
      </c>
      <c r="G14" s="57">
        <v>0</v>
      </c>
      <c r="H14" s="56">
        <v>0</v>
      </c>
      <c r="I14" s="56">
        <v>0</v>
      </c>
      <c r="J14" s="56">
        <v>0</v>
      </c>
      <c r="K14" s="56">
        <v>16</v>
      </c>
      <c r="L14" s="56">
        <v>0</v>
      </c>
      <c r="M14" s="56">
        <v>0</v>
      </c>
      <c r="N14" s="54">
        <v>0</v>
      </c>
      <c r="O14" s="55">
        <v>46013</v>
      </c>
    </row>
    <row r="15" spans="2:15" s="38" customFormat="1" ht="42" customHeight="1">
      <c r="B15" s="53" t="s">
        <v>91</v>
      </c>
      <c r="C15" s="57" t="s">
        <v>269</v>
      </c>
      <c r="D15" s="81" t="s">
        <v>489</v>
      </c>
      <c r="E15" s="82">
        <v>11564725</v>
      </c>
      <c r="F15" s="54" t="s">
        <v>490</v>
      </c>
      <c r="G15" s="57">
        <v>0</v>
      </c>
      <c r="H15" s="56">
        <v>0</v>
      </c>
      <c r="I15" s="56">
        <v>0</v>
      </c>
      <c r="J15" s="56">
        <v>0</v>
      </c>
      <c r="K15" s="56">
        <v>58</v>
      </c>
      <c r="L15" s="56">
        <v>0</v>
      </c>
      <c r="M15" s="56">
        <v>0</v>
      </c>
      <c r="N15" s="54">
        <v>0</v>
      </c>
      <c r="O15" s="55">
        <v>46014</v>
      </c>
    </row>
    <row r="16" spans="2:15" s="38" customFormat="1" ht="41.25" customHeight="1">
      <c r="B16" s="53" t="s">
        <v>91</v>
      </c>
      <c r="C16" s="57" t="s">
        <v>269</v>
      </c>
      <c r="D16" s="60" t="s">
        <v>464</v>
      </c>
      <c r="E16" s="56">
        <v>146254724</v>
      </c>
      <c r="F16" s="57" t="s">
        <v>465</v>
      </c>
      <c r="G16" s="57">
        <v>0</v>
      </c>
      <c r="H16" s="56">
        <v>0</v>
      </c>
      <c r="I16" s="56">
        <v>0</v>
      </c>
      <c r="J16" s="56">
        <v>0</v>
      </c>
      <c r="K16" s="56">
        <v>20</v>
      </c>
      <c r="L16" s="56">
        <v>0</v>
      </c>
      <c r="M16" s="56">
        <v>0</v>
      </c>
      <c r="N16" s="54">
        <v>0</v>
      </c>
      <c r="O16" s="55">
        <v>46013</v>
      </c>
    </row>
    <row r="17" spans="2:15" s="38" customFormat="1" ht="43.5" customHeight="1">
      <c r="B17" s="53" t="s">
        <v>91</v>
      </c>
      <c r="C17" s="57" t="s">
        <v>269</v>
      </c>
      <c r="D17" s="83" t="s">
        <v>491</v>
      </c>
      <c r="E17" s="84">
        <v>101380757</v>
      </c>
      <c r="F17" s="85" t="s">
        <v>492</v>
      </c>
      <c r="G17" s="57">
        <v>0</v>
      </c>
      <c r="H17" s="56">
        <v>0</v>
      </c>
      <c r="I17" s="56">
        <v>0</v>
      </c>
      <c r="J17" s="56">
        <v>0</v>
      </c>
      <c r="K17" s="56">
        <v>22</v>
      </c>
      <c r="L17" s="56">
        <v>0</v>
      </c>
      <c r="M17" s="56">
        <v>0</v>
      </c>
      <c r="N17" s="54">
        <v>0</v>
      </c>
      <c r="O17" s="55">
        <v>46001</v>
      </c>
    </row>
    <row r="18" spans="2:15" s="38" customFormat="1" ht="43.5" customHeight="1">
      <c r="B18" s="53" t="s">
        <v>91</v>
      </c>
      <c r="C18" s="57" t="s">
        <v>269</v>
      </c>
      <c r="D18" s="60" t="s">
        <v>493</v>
      </c>
      <c r="E18" s="56">
        <v>70569406</v>
      </c>
      <c r="F18" s="57" t="s">
        <v>463</v>
      </c>
      <c r="G18" s="57">
        <v>0</v>
      </c>
      <c r="H18" s="56">
        <v>0</v>
      </c>
      <c r="I18" s="56">
        <v>0</v>
      </c>
      <c r="J18" s="56">
        <v>0</v>
      </c>
      <c r="K18" s="56">
        <v>66</v>
      </c>
      <c r="L18" s="56">
        <v>0</v>
      </c>
      <c r="M18" s="56">
        <v>0</v>
      </c>
      <c r="N18" s="54">
        <v>0</v>
      </c>
      <c r="O18" s="55">
        <v>46013</v>
      </c>
    </row>
    <row r="19" spans="2:15" s="38" customFormat="1" ht="43.5" customHeight="1">
      <c r="B19" s="57" t="s">
        <v>91</v>
      </c>
      <c r="C19" s="60" t="s">
        <v>269</v>
      </c>
      <c r="D19" s="60" t="s">
        <v>494</v>
      </c>
      <c r="E19" s="57">
        <v>12192639</v>
      </c>
      <c r="F19" s="57" t="s">
        <v>495</v>
      </c>
      <c r="G19" s="57">
        <v>0</v>
      </c>
      <c r="H19" s="56">
        <v>0</v>
      </c>
      <c r="I19" s="56">
        <v>0</v>
      </c>
      <c r="J19" s="56">
        <v>0</v>
      </c>
      <c r="K19" s="59">
        <v>5</v>
      </c>
      <c r="L19" s="56">
        <v>0</v>
      </c>
      <c r="M19" s="56">
        <v>0</v>
      </c>
      <c r="N19" s="54">
        <v>0</v>
      </c>
      <c r="O19" s="55">
        <v>46003</v>
      </c>
    </row>
    <row r="20" spans="2:15" s="38" customFormat="1" ht="43.5" customHeight="1">
      <c r="B20" s="53" t="s">
        <v>91</v>
      </c>
      <c r="C20" s="57" t="s">
        <v>269</v>
      </c>
      <c r="D20" s="60" t="s">
        <v>466</v>
      </c>
      <c r="E20" s="64">
        <v>526170462</v>
      </c>
      <c r="F20" s="64" t="s">
        <v>467</v>
      </c>
      <c r="G20" s="57">
        <v>0</v>
      </c>
      <c r="H20" s="56">
        <v>0</v>
      </c>
      <c r="I20" s="56">
        <v>0</v>
      </c>
      <c r="J20" s="56">
        <v>0</v>
      </c>
      <c r="K20" s="59">
        <v>4</v>
      </c>
      <c r="L20" s="56">
        <v>0</v>
      </c>
      <c r="M20" s="56">
        <v>0</v>
      </c>
      <c r="N20" s="54">
        <v>0</v>
      </c>
      <c r="O20" s="55">
        <v>46013</v>
      </c>
    </row>
    <row r="21" spans="2:15" s="38" customFormat="1" ht="43.5" customHeight="1">
      <c r="B21" s="53" t="s">
        <v>91</v>
      </c>
      <c r="C21" s="53" t="s">
        <v>269</v>
      </c>
      <c r="D21" s="87" t="s">
        <v>496</v>
      </c>
      <c r="E21" s="88">
        <v>146173983</v>
      </c>
      <c r="F21" s="89" t="s">
        <v>497</v>
      </c>
      <c r="G21" s="53">
        <v>0</v>
      </c>
      <c r="H21" s="54">
        <v>0</v>
      </c>
      <c r="I21" s="54">
        <v>0</v>
      </c>
      <c r="J21" s="54">
        <v>0</v>
      </c>
      <c r="K21" s="90">
        <v>52</v>
      </c>
      <c r="L21" s="54">
        <v>0</v>
      </c>
      <c r="M21" s="54">
        <v>0</v>
      </c>
      <c r="N21" s="54">
        <v>0</v>
      </c>
      <c r="O21" s="55">
        <v>46002</v>
      </c>
    </row>
    <row r="22" spans="2:15" s="38" customFormat="1" ht="43.5" customHeight="1">
      <c r="B22" s="53" t="s">
        <v>91</v>
      </c>
      <c r="C22" s="57" t="s">
        <v>269</v>
      </c>
      <c r="D22" s="60" t="s">
        <v>461</v>
      </c>
      <c r="E22" s="61">
        <v>16092350</v>
      </c>
      <c r="F22" s="56" t="s">
        <v>454</v>
      </c>
      <c r="G22" s="56">
        <v>0</v>
      </c>
      <c r="H22" s="56">
        <v>0</v>
      </c>
      <c r="I22" s="56">
        <v>0</v>
      </c>
      <c r="J22" s="56">
        <v>0</v>
      </c>
      <c r="K22" s="59">
        <v>56</v>
      </c>
      <c r="L22" s="56">
        <v>0</v>
      </c>
      <c r="M22" s="56">
        <v>0</v>
      </c>
      <c r="N22" s="54">
        <v>0</v>
      </c>
      <c r="O22" s="55">
        <v>46013</v>
      </c>
    </row>
    <row r="23" spans="2:15" s="38" customFormat="1" ht="43.5" customHeight="1">
      <c r="B23" s="53" t="s">
        <v>91</v>
      </c>
      <c r="C23" s="57" t="s">
        <v>269</v>
      </c>
      <c r="D23" s="60" t="s">
        <v>498</v>
      </c>
      <c r="E23" s="61">
        <v>10205</v>
      </c>
      <c r="F23" s="56" t="s">
        <v>455</v>
      </c>
      <c r="G23" s="56">
        <v>0</v>
      </c>
      <c r="H23" s="56">
        <v>0</v>
      </c>
      <c r="I23" s="56">
        <v>0</v>
      </c>
      <c r="J23" s="56">
        <v>0</v>
      </c>
      <c r="K23" s="59">
        <v>85</v>
      </c>
      <c r="L23" s="56">
        <v>0</v>
      </c>
      <c r="M23" s="56">
        <v>0</v>
      </c>
      <c r="N23" s="54">
        <v>0</v>
      </c>
      <c r="O23" s="55">
        <v>46013</v>
      </c>
    </row>
    <row r="24" spans="2:15" s="38" customFormat="1" ht="43.5" customHeight="1">
      <c r="B24" s="53" t="s">
        <v>91</v>
      </c>
      <c r="C24" s="53" t="s">
        <v>269</v>
      </c>
      <c r="D24" s="77" t="s">
        <v>499</v>
      </c>
      <c r="E24" s="64">
        <v>16976533</v>
      </c>
      <c r="F24" s="64" t="s">
        <v>500</v>
      </c>
      <c r="G24" s="54">
        <v>0</v>
      </c>
      <c r="H24" s="54">
        <v>0</v>
      </c>
      <c r="I24" s="56">
        <v>0</v>
      </c>
      <c r="J24" s="56">
        <v>0</v>
      </c>
      <c r="K24" s="59">
        <v>3</v>
      </c>
      <c r="L24" s="56">
        <v>0</v>
      </c>
      <c r="M24" s="56">
        <v>0</v>
      </c>
      <c r="N24" s="54">
        <v>0</v>
      </c>
      <c r="O24" s="55">
        <v>46013</v>
      </c>
    </row>
    <row r="25" spans="2:15" ht="47.25">
      <c r="B25" s="53" t="s">
        <v>91</v>
      </c>
      <c r="C25" s="53" t="s">
        <v>269</v>
      </c>
      <c r="D25" s="77" t="s">
        <v>501</v>
      </c>
      <c r="E25" s="64">
        <v>146685631</v>
      </c>
      <c r="F25" s="64" t="s">
        <v>486</v>
      </c>
      <c r="G25" s="54">
        <v>0</v>
      </c>
      <c r="H25" s="54">
        <v>0</v>
      </c>
      <c r="I25" s="56">
        <v>0</v>
      </c>
      <c r="J25" s="56">
        <v>0</v>
      </c>
      <c r="K25" s="59">
        <v>32</v>
      </c>
      <c r="L25" s="56">
        <v>0</v>
      </c>
      <c r="M25" s="56">
        <v>0</v>
      </c>
      <c r="N25" s="54">
        <v>0</v>
      </c>
      <c r="O25" s="55">
        <v>46013</v>
      </c>
    </row>
    <row r="26" spans="2:15" ht="63">
      <c r="B26" s="53" t="s">
        <v>91</v>
      </c>
      <c r="C26" s="53" t="s">
        <v>269</v>
      </c>
      <c r="D26" s="77" t="s">
        <v>502</v>
      </c>
      <c r="E26" s="64">
        <v>140718341</v>
      </c>
      <c r="F26" s="64" t="s">
        <v>503</v>
      </c>
      <c r="G26" s="54">
        <v>0</v>
      </c>
      <c r="H26" s="54">
        <v>0</v>
      </c>
      <c r="I26" s="56">
        <v>0</v>
      </c>
      <c r="J26" s="56">
        <v>0</v>
      </c>
      <c r="K26" s="59">
        <v>3</v>
      </c>
      <c r="L26" s="56">
        <v>0</v>
      </c>
      <c r="M26" s="56">
        <v>0</v>
      </c>
      <c r="N26" s="54">
        <v>0</v>
      </c>
      <c r="O26" s="55">
        <v>46013</v>
      </c>
    </row>
    <row r="27" spans="2:15" ht="47.25">
      <c r="B27" s="53" t="s">
        <v>91</v>
      </c>
      <c r="C27" s="53" t="s">
        <v>269</v>
      </c>
      <c r="D27" s="77" t="s">
        <v>504</v>
      </c>
      <c r="E27" s="64">
        <v>11225176</v>
      </c>
      <c r="F27" s="64" t="s">
        <v>462</v>
      </c>
      <c r="G27" s="54">
        <v>0</v>
      </c>
      <c r="H27" s="54">
        <v>0</v>
      </c>
      <c r="I27" s="56">
        <v>0</v>
      </c>
      <c r="J27" s="56">
        <v>0</v>
      </c>
      <c r="K27" s="59">
        <v>48</v>
      </c>
      <c r="L27" s="56">
        <v>0</v>
      </c>
      <c r="M27" s="56">
        <v>0</v>
      </c>
      <c r="N27" s="53">
        <v>0</v>
      </c>
      <c r="O27" s="55">
        <v>46013</v>
      </c>
    </row>
    <row r="28" spans="2:15" ht="47.25">
      <c r="B28" s="53" t="s">
        <v>91</v>
      </c>
      <c r="C28" s="53" t="s">
        <v>269</v>
      </c>
      <c r="D28" s="77" t="s">
        <v>505</v>
      </c>
      <c r="E28" s="64">
        <v>360989650</v>
      </c>
      <c r="F28" s="64" t="s">
        <v>506</v>
      </c>
      <c r="G28" s="54">
        <v>0</v>
      </c>
      <c r="H28" s="54">
        <v>0</v>
      </c>
      <c r="I28" s="56">
        <v>0</v>
      </c>
      <c r="J28" s="56">
        <v>0</v>
      </c>
      <c r="K28" s="59">
        <v>113</v>
      </c>
      <c r="L28" s="56">
        <v>0</v>
      </c>
      <c r="M28" s="56">
        <v>0</v>
      </c>
      <c r="N28" s="53">
        <v>0</v>
      </c>
      <c r="O28" s="55">
        <v>46013</v>
      </c>
    </row>
    <row r="29" spans="2:15" ht="47.25">
      <c r="B29" s="53" t="s">
        <v>91</v>
      </c>
      <c r="C29" s="53" t="s">
        <v>269</v>
      </c>
      <c r="D29" s="77" t="s">
        <v>507</v>
      </c>
      <c r="E29" s="64">
        <v>145870958</v>
      </c>
      <c r="F29" s="64" t="s">
        <v>486</v>
      </c>
      <c r="G29" s="54">
        <v>0</v>
      </c>
      <c r="H29" s="54">
        <v>0</v>
      </c>
      <c r="I29" s="56">
        <v>0</v>
      </c>
      <c r="J29" s="56">
        <v>0</v>
      </c>
      <c r="K29" s="59">
        <v>13</v>
      </c>
      <c r="L29" s="56">
        <v>0</v>
      </c>
      <c r="M29" s="56">
        <v>0</v>
      </c>
      <c r="N29" s="53">
        <v>0</v>
      </c>
      <c r="O29" s="55">
        <v>46013</v>
      </c>
    </row>
    <row r="30" spans="2:15" ht="47.25">
      <c r="B30" s="53" t="s">
        <v>91</v>
      </c>
      <c r="C30" s="53" t="s">
        <v>269</v>
      </c>
      <c r="D30" s="77" t="s">
        <v>508</v>
      </c>
      <c r="E30" s="64">
        <v>380141246</v>
      </c>
      <c r="F30" s="64" t="s">
        <v>486</v>
      </c>
      <c r="G30" s="54">
        <v>0</v>
      </c>
      <c r="H30" s="54">
        <v>0</v>
      </c>
      <c r="I30" s="56">
        <v>0</v>
      </c>
      <c r="J30" s="56">
        <v>0</v>
      </c>
      <c r="K30" s="59">
        <v>18</v>
      </c>
      <c r="L30" s="56">
        <v>0</v>
      </c>
      <c r="M30" s="56">
        <v>0</v>
      </c>
      <c r="N30" s="53">
        <v>0</v>
      </c>
      <c r="O30" s="55">
        <v>46013</v>
      </c>
    </row>
    <row r="31" spans="2:15" ht="63">
      <c r="B31" s="53" t="s">
        <v>91</v>
      </c>
      <c r="C31" s="53" t="s">
        <v>269</v>
      </c>
      <c r="D31" s="77" t="s">
        <v>509</v>
      </c>
      <c r="E31" s="64">
        <v>146703228</v>
      </c>
      <c r="F31" s="64" t="s">
        <v>510</v>
      </c>
      <c r="G31" s="54">
        <v>0</v>
      </c>
      <c r="H31" s="54">
        <v>0</v>
      </c>
      <c r="I31" s="56">
        <v>0</v>
      </c>
      <c r="J31" s="56">
        <v>0</v>
      </c>
      <c r="K31" s="59">
        <v>20</v>
      </c>
      <c r="L31" s="56">
        <v>0</v>
      </c>
      <c r="M31" s="56">
        <v>0</v>
      </c>
      <c r="N31" s="53">
        <v>0</v>
      </c>
      <c r="O31" s="55">
        <v>46013</v>
      </c>
    </row>
    <row r="32" spans="2:15" ht="63">
      <c r="B32" s="53" t="s">
        <v>91</v>
      </c>
      <c r="C32" s="53" t="s">
        <v>269</v>
      </c>
      <c r="D32" s="77" t="s">
        <v>511</v>
      </c>
      <c r="E32" s="64">
        <v>145820268</v>
      </c>
      <c r="F32" s="64" t="s">
        <v>479</v>
      </c>
      <c r="G32" s="54">
        <v>0</v>
      </c>
      <c r="H32" s="54">
        <v>0</v>
      </c>
      <c r="I32" s="56">
        <v>0</v>
      </c>
      <c r="J32" s="56">
        <v>0</v>
      </c>
      <c r="K32" s="59">
        <v>21</v>
      </c>
      <c r="L32" s="56">
        <v>0</v>
      </c>
      <c r="M32" s="56">
        <v>0</v>
      </c>
      <c r="N32" s="53">
        <v>0</v>
      </c>
      <c r="O32" s="55">
        <v>46013</v>
      </c>
    </row>
    <row r="33" spans="7:14">
      <c r="G33">
        <f>SUM(G8:G32)</f>
        <v>728</v>
      </c>
      <c r="H33" s="52"/>
      <c r="I33" s="52"/>
      <c r="J33" s="52"/>
      <c r="K33" s="52">
        <f t="shared" ref="K33:L33" si="0">SUM(K8:K32)</f>
        <v>697</v>
      </c>
      <c r="L33" s="52">
        <f t="shared" si="0"/>
        <v>675</v>
      </c>
      <c r="M33" s="52"/>
      <c r="N33" s="52"/>
    </row>
  </sheetData>
  <mergeCells count="4">
    <mergeCell ref="B4:D4"/>
    <mergeCell ref="B6:F6"/>
    <mergeCell ref="L6:N6"/>
    <mergeCell ref="G6:J6"/>
  </mergeCells>
  <conditionalFormatting sqref="C2:D2">
    <cfRule type="expression" dxfId="0" priority="3">
      <formula>$C$2=0</formula>
    </cfRule>
  </conditionalFormatting>
  <dataValidations count="1">
    <dataValidation type="textLength" operator="equal" allowBlank="1" showInputMessage="1" showErrorMessage="1" prompt="Proszę wpisać REGON w formacie XXXXXXXXXXXXXX - 14 cyfrowy" sqref="E11:E24 E9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2026-01-07T12:45:32Z</dcterms:modified>
</cp:coreProperties>
</file>
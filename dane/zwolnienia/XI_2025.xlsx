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E207651F-02B1-4CB7-A9F1-B62D922922F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5" l="1"/>
  <c r="C2" i="5"/>
  <c r="G25" i="5" l="1"/>
  <c r="L25" i="5"/>
  <c r="I25" i="5"/>
  <c r="J25" i="5"/>
  <c r="K25" i="5"/>
</calcChain>
</file>

<file path=xl/sharedStrings.xml><?xml version="1.0" encoding="utf-8"?>
<sst xmlns="http://schemas.openxmlformats.org/spreadsheetml/2006/main" count="525" uniqueCount="487">
  <si>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</si>
  <si>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</si>
  <si>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</si>
  <si>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</si>
  <si>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</si>
  <si>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</si>
  <si>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</si>
  <si>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</si>
  <si>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</si>
  <si>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</si>
  <si>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</si>
  <si>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</si>
  <si>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</si>
  <si>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</si>
  <si>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</si>
  <si>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</si>
  <si>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</si>
  <si>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</si>
  <si>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</si>
  <si>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</si>
  <si>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</si>
  <si>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</si>
  <si>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</si>
  <si>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</si>
  <si>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</si>
  <si>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</si>
  <si>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</si>
  <si>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</si>
  <si>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</si>
  <si>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</si>
  <si>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</si>
  <si>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</si>
  <si>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</si>
  <si>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</si>
  <si>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</si>
  <si>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</si>
  <si>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</si>
  <si>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</si>
  <si>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</si>
  <si>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</si>
  <si>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</si>
  <si>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</si>
  <si>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</si>
  <si>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</si>
  <si>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</si>
  <si>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</si>
  <si>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</si>
  <si>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</si>
  <si>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</si>
  <si>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</si>
  <si>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</si>
  <si>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</si>
  <si>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</si>
  <si>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</si>
  <si>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</si>
  <si>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</si>
  <si>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</si>
  <si>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</si>
  <si>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</si>
  <si>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</si>
  <si>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</si>
  <si>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</si>
  <si>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</si>
  <si>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</si>
  <si>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</si>
  <si>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</si>
  <si>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</si>
  <si>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</si>
  <si>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</si>
  <si>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</si>
  <si>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</si>
  <si>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</si>
  <si>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</si>
  <si>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</si>
  <si>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</si>
  <si>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</si>
  <si>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</si>
  <si>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</si>
  <si>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</si>
  <si>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</si>
  <si>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</si>
  <si>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</si>
  <si>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</si>
  <si>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</si>
  <si>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</si>
  <si>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</si>
  <si>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</si>
  <si>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</si>
  <si>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</si>
  <si>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</si>
  <si>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</si>
  <si>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</si>
  <si>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</si>
  <si>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</si>
  <si>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</si>
  <si>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</si>
  <si>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</si>
  <si>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</si>
  <si>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</si>
  <si>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</si>
  <si>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</si>
  <si>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</si>
  <si>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</si>
  <si>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</si>
  <si>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</si>
  <si>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</si>
  <si>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</si>
  <si>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</si>
  <si>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</si>
  <si>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</si>
  <si>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</si>
  <si>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</si>
  <si>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</si>
  <si>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</si>
  <si>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</si>
  <si>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</si>
  <si>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</si>
  <si>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</si>
  <si>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</si>
  <si>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</si>
  <si>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</si>
  <si>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</si>
  <si>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</si>
  <si>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</si>
  <si>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</si>
  <si>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</si>
  <si>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</si>
  <si>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</si>
  <si>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</si>
  <si>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</si>
  <si>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</si>
  <si>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</si>
  <si>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</si>
  <si>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</si>
  <si>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</si>
  <si>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</si>
  <si>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</si>
  <si>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</si>
  <si>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</si>
  <si>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</si>
  <si>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</si>
  <si>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</si>
  <si>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</si>
  <si>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</si>
  <si>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</si>
  <si>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</si>
  <si>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</si>
  <si>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</si>
  <si>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</si>
  <si>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</si>
  <si>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</si>
  <si>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</si>
  <si>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</si>
  <si>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</si>
  <si>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</si>
  <si>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</si>
  <si>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</si>
  <si>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</si>
  <si>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</si>
  <si>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</si>
  <si>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</si>
  <si>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</si>
  <si>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</si>
  <si>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</si>
  <si>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</si>
  <si>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</si>
  <si>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</si>
  <si>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</si>
  <si>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</si>
  <si>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</si>
  <si>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</si>
  <si>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</si>
  <si>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</si>
  <si>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</si>
  <si>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</si>
  <si>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</si>
  <si>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</si>
  <si>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</si>
  <si>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</si>
  <si>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</si>
  <si>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</si>
  <si>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</si>
  <si>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</si>
  <si>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</si>
  <si>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</si>
  <si>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</si>
  <si>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</si>
  <si>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</si>
  <si>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</si>
  <si>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</si>
  <si>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</si>
  <si>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</si>
  <si>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</si>
  <si>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</si>
  <si>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</si>
  <si>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</si>
  <si>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</si>
  <si>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</si>
  <si>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</si>
  <si>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</si>
  <si>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</si>
  <si>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</si>
  <si>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</si>
  <si>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</si>
  <si>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</si>
  <si>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</si>
  <si>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</si>
  <si>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</si>
  <si>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</si>
  <si>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</si>
  <si>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</si>
  <si>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</si>
  <si>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</si>
  <si>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</si>
  <si>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</si>
  <si>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</si>
  <si>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</si>
  <si>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</si>
  <si>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</si>
  <si>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</si>
  <si>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</si>
  <si>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</si>
  <si>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</si>
  <si>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</si>
  <si>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</si>
  <si>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</si>
  <si>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</si>
  <si>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</si>
  <si>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</si>
  <si>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</si>
  <si>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</si>
  <si>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</si>
  <si>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</si>
  <si>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</si>
  <si>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</si>
  <si>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</si>
  <si>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</si>
  <si>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</si>
  <si>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</si>
  <si>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</si>
  <si>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</si>
  <si>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</si>
  <si>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</si>
  <si>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</si>
  <si>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</si>
  <si>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</si>
  <si>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</si>
  <si>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</si>
  <si>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</si>
  <si>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</si>
  <si>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</si>
  <si>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</si>
  <si>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</si>
  <si>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</si>
  <si>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</si>
  <si>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</si>
  <si>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</si>
  <si>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</si>
  <si>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</si>
  <si>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</si>
  <si>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</si>
  <si>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</si>
  <si>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</si>
  <si>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</si>
  <si>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</si>
  <si>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</si>
  <si>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</si>
  <si>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</si>
  <si>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</si>
  <si>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</si>
  <si>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</si>
  <si>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</si>
  <si>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</si>
  <si>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</si>
  <si>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</si>
  <si>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</si>
  <si>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</si>
  <si>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</si>
  <si>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</si>
  <si>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</si>
  <si>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</si>
  <si>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</si>
  <si>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</si>
  <si>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</si>
  <si>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</si>
  <si>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</si>
  <si>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</si>
  <si>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</si>
  <si>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</si>
  <si>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</si>
  <si>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</si>
  <si>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</si>
  <si>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</si>
  <si>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</si>
  <si>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</si>
  <si>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</si>
  <si>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</si>
  <si>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</si>
  <si>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</si>
  <si>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</si>
  <si>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</si>
  <si>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</si>
  <si>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</si>
  <si>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</si>
  <si>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</si>
  <si>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</si>
  <si>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</si>
  <si>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</si>
  <si>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</si>
  <si>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</si>
  <si>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</si>
  <si>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</si>
  <si>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</si>
  <si>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</si>
  <si>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</si>
  <si>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</si>
  <si>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</si>
  <si>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</si>
  <si>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</si>
  <si>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</si>
  <si>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</si>
  <si>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</si>
  <si>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</si>
  <si>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</si>
  <si>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</si>
  <si>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</si>
  <si>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</si>
  <si>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</si>
  <si>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</si>
  <si>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</si>
  <si>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</si>
  <si>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</si>
  <si>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</si>
  <si>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</si>
  <si>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</si>
  <si>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</si>
  <si>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</si>
  <si>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</si>
  <si>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</si>
  <si>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</si>
  <si>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</si>
  <si>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</si>
  <si>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</si>
  <si>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</si>
  <si>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</si>
  <si>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</si>
  <si>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</si>
  <si>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</si>
  <si>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</si>
  <si>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</si>
  <si>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</si>
  <si>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</si>
  <si>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</si>
  <si>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</si>
  <si>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</si>
  <si>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</si>
  <si>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</si>
  <si>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</si>
  <si>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</si>
  <si>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</si>
  <si>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</si>
  <si>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</si>
  <si>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</si>
  <si>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</si>
  <si>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</si>
  <si>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</si>
  <si>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</si>
  <si>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</si>
  <si>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</si>
  <si>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</si>
  <si>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</si>
  <si>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</si>
  <si>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</si>
  <si>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</si>
  <si>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</si>
  <si>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</si>
  <si>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</si>
  <si>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</si>
  <si>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</si>
  <si>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</si>
  <si>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</si>
  <si>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</si>
  <si>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</si>
  <si>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</si>
  <si>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</si>
  <si>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</si>
  <si>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</si>
  <si>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</si>
  <si>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</si>
  <si>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</si>
  <si>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</si>
  <si>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</si>
  <si>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</si>
  <si>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</si>
  <si>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</si>
  <si>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</si>
  <si>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</si>
  <si>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</si>
  <si>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</si>
  <si>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</si>
  <si>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</si>
  <si>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</si>
  <si>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</si>
  <si>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</si>
  <si>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</si>
  <si>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</si>
  <si>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</si>
  <si>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</si>
  <si>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</si>
  <si>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</si>
  <si>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</si>
  <si>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</si>
  <si>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</si>
  <si>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</si>
  <si>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</si>
  <si>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</si>
  <si>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</si>
  <si>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</si>
  <si>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</si>
  <si>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</si>
  <si>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</si>
  <si>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</si>
  <si>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</si>
  <si>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</si>
  <si>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</si>
  <si>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</si>
  <si>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</si>
  <si>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</si>
  <si>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</si>
  <si>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</si>
  <si>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</si>
  <si>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</si>
  <si>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</si>
  <si>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</si>
  <si>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</si>
  <si>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</si>
  <si>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</si>
  <si>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</si>
  <si>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</si>
  <si>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</si>
  <si>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</si>
  <si>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</si>
  <si>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</si>
  <si>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</si>
  <si>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</si>
  <si>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</si>
  <si>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</si>
  <si>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</si>
  <si>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</si>
  <si>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</si>
  <si>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</si>
  <si>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</si>
  <si>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</si>
  <si>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48 22 578 44 17</t>
  </si>
  <si>
    <t>ADAL SPÓŁKA Z OGRANICZONĄ ODPOWIEDZIALNOŚCIĄ</t>
  </si>
  <si>
    <t>28.99Z</t>
  </si>
  <si>
    <t>od 28.04.2025 r. do 31.12.2025 r.</t>
  </si>
  <si>
    <t>tak</t>
  </si>
  <si>
    <t>4651Z</t>
  </si>
  <si>
    <t>6419Z</t>
  </si>
  <si>
    <t>6619Z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</si>
  <si>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</si>
  <si>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POCZTA POLSKA S.A.                                ul. Rodziny Hiszpańskich 8,                                       00-940 Warszawa</t>
  </si>
  <si>
    <t>5310Z</t>
  </si>
  <si>
    <t>Hubert Samul</t>
  </si>
  <si>
    <t>Fujitsu  Technology Solutions sp. z o.o.                                                  ul. Krakowiaków 36                                   02-255 Warszawa</t>
  </si>
  <si>
    <t>7311Z</t>
  </si>
  <si>
    <t>CARREFOUR POLSKA sp. zo.o.                                           ul. Targowa 72,                                              03-734 Warszawa</t>
  </si>
  <si>
    <t>4711Z</t>
  </si>
  <si>
    <t>MAKRO CASH AND CARRY POLSKA S.A.                                                                 Al. Jerozolimskie 146,                                          02-486 warszawa</t>
  </si>
  <si>
    <t>4634A</t>
  </si>
  <si>
    <t>PARIS TOBACCO INTERNATIONAL MANUFACTURING sp. z o.o. Skrzyńsko ul. Przemysłowa 25, 26-400 Przysucha</t>
  </si>
  <si>
    <t>BNP Paribas Polska Spółka Akcyjna                                                   ul. M. Kasprzaka 2                                                      01-211 Warszawa</t>
  </si>
  <si>
    <t>CASINOS POLAND CP                sp. z o.o.                                             ul. Wolność 3A                                                        01-018 Warszawa</t>
  </si>
  <si>
    <t>9200Z</t>
  </si>
  <si>
    <t>WYBORCZA sp. z o.o                      ul. Czerska 8/10                          00-732 Warszawa</t>
  </si>
  <si>
    <t>6312Z</t>
  </si>
  <si>
    <t>SYSXNET LIMITED sp. z o.o Oddział w Polsce                         ul. Prosta 1 00- 838 Warszawa</t>
  </si>
  <si>
    <t>6311Z</t>
  </si>
  <si>
    <t>Contec S.A.                                       Al. Jerozolimskie 142 A                     02-305 Warszawa</t>
  </si>
  <si>
    <t>2059Z</t>
  </si>
  <si>
    <t>PFIZER POLSKA sp. zo.o.                           ul. Żwirki i Wigury 16B                                              02-092 Warszawa</t>
  </si>
  <si>
    <t>PKP CARGO S.A.                           w restrukturyzacji 
ul. Grójecka 17
02-021 Warszawa</t>
  </si>
  <si>
    <t>4920Z</t>
  </si>
  <si>
    <t>DRUKPOL.FLEXO SPÓŁKA Z OGRANICZONĄ ODPOWIEDZIALNOŚCIĄ</t>
  </si>
  <si>
    <t>1812Z</t>
  </si>
  <si>
    <t>od 01.12.2025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</si>
</sst>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3.5"/>
      <name val="Calibri"/>
      <family val="2"/>
      <charset val="238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1" fillId="0" borderId="0" applyBorder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1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2" fontId="6" fillId="0" borderId="1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2" fontId="6" fillId="0" borderId="1" xfId="0" applyNumberFormat="1" applyFont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7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Hiperłącze 2 2" xfId="6" xr:uid="{2CF193E3-8353-4B88-AB2C-F2CF53A31E1B}"/>
    <cellStyle name="Normalny" xfId="0" builtinId="0"/>
    <cellStyle name="Normalny 2" xfId="1" xr:uid="{00000000-0005-0000-0000-000002000000}"/>
    <cellStyle name="Normalny 3" xfId="3" xr:uid="{FD27F33F-24F2-4826-B60F-6CAF238E29A9}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4" sqref="E4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291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464</v>
      </c>
      <c r="E13" s="33" t="s">
        <v>452</v>
      </c>
      <c r="F13" s="37" t="s">
        <v>453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69" t="s">
        <v>440</v>
      </c>
      <c r="D22" s="13"/>
    </row>
    <row r="23" spans="3:6" ht="26.25">
      <c r="C23" s="69"/>
      <c r="D23" s="21" t="s">
        <v>280</v>
      </c>
    </row>
    <row r="24" spans="3:6" ht="28.5" customHeight="1">
      <c r="C24" s="69"/>
    </row>
    <row r="25" spans="3:6">
      <c r="C25" s="23"/>
    </row>
    <row r="26" spans="3:6">
      <c r="C26" s="69" t="s">
        <v>441</v>
      </c>
    </row>
    <row r="27" spans="3:6">
      <c r="C27" s="69"/>
    </row>
    <row r="28" spans="3:6" ht="23.25" customHeight="1">
      <c r="C28" s="69"/>
    </row>
    <row r="29" spans="3:6">
      <c r="C29" s="23"/>
    </row>
    <row r="30" spans="3:6" ht="12.75" customHeight="1">
      <c r="C30" s="69" t="s">
        <v>442</v>
      </c>
    </row>
    <row r="31" spans="3:6" ht="12.75" customHeight="1">
      <c r="C31" s="69"/>
    </row>
    <row r="32" spans="3:6" ht="21.75" customHeight="1">
      <c r="C32" s="69"/>
    </row>
    <row r="33" spans="3:3" ht="14.25" customHeight="1">
      <c r="C33" s="69"/>
    </row>
    <row r="34" spans="3:3">
      <c r="C34" s="69"/>
    </row>
    <row r="35" spans="3:3">
      <c r="C35" s="69"/>
    </row>
    <row r="37" spans="3:3" ht="12.75" customHeight="1">
      <c r="C37" s="69" t="s">
        <v>451</v>
      </c>
    </row>
    <row r="38" spans="3:3" ht="12.75" customHeight="1">
      <c r="C38" s="69"/>
    </row>
    <row r="39" spans="3:3" ht="19.5" customHeight="1">
      <c r="C39" s="6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25"/>
  <sheetViews>
    <sheetView tabSelected="1" topLeftCell="A11" zoomScale="90" zoomScaleNormal="90" workbookViewId="0">
      <selection activeCell="G23" sqref="G23"/>
    </sheetView>
  </sheetViews>
  <sheetFormatPr defaultRowHeight="12.75"/>
  <cols>
    <col min="1" max="1" width="5.42578125" customWidth="1"/>
    <col min="2" max="2" width="21.5703125" customWidth="1"/>
    <col min="3" max="3" width="21.5703125" style="35" customWidth="1"/>
    <col min="4" max="4" width="37.85546875" customWidth="1"/>
    <col min="5" max="5" width="37.28515625" customWidth="1"/>
    <col min="6" max="6" width="13.140625" style="35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29" t="str">
        <f>'Dane podstawowe'!$D$7</f>
        <v xml:space="preserve">Listopad </v>
      </c>
      <c r="E2" s="30">
        <v>2025</v>
      </c>
      <c r="F2" s="36"/>
      <c r="G2" s="13"/>
      <c r="H2" s="13"/>
      <c r="I2" s="13"/>
    </row>
    <row r="4" spans="2:15">
      <c r="B4" s="70" t="s">
        <v>431</v>
      </c>
      <c r="C4" s="70"/>
      <c r="D4" s="70"/>
    </row>
    <row r="5" spans="2:15">
      <c r="B5" s="28"/>
      <c r="C5" s="34"/>
      <c r="D5" s="28"/>
    </row>
    <row r="6" spans="2:15" ht="15">
      <c r="B6" s="71" t="s">
        <v>446</v>
      </c>
      <c r="C6" s="71"/>
      <c r="D6" s="71"/>
      <c r="E6" s="71"/>
      <c r="F6" s="71"/>
      <c r="G6" s="72" t="s">
        <v>448</v>
      </c>
      <c r="H6" s="73"/>
      <c r="I6" s="73"/>
      <c r="J6" s="74"/>
      <c r="K6" s="32" t="s">
        <v>449</v>
      </c>
      <c r="L6" s="71" t="s">
        <v>447</v>
      </c>
      <c r="M6" s="71"/>
      <c r="N6" s="71"/>
      <c r="O6" s="31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8" customFormat="1" ht="34.9" customHeight="1">
      <c r="B8" s="50" t="s">
        <v>64</v>
      </c>
      <c r="C8" s="50" t="s">
        <v>269</v>
      </c>
      <c r="D8" s="49" t="s">
        <v>454</v>
      </c>
      <c r="E8" s="50">
        <v>12145421000000</v>
      </c>
      <c r="F8" s="50" t="s">
        <v>455</v>
      </c>
      <c r="G8" s="51">
        <v>0</v>
      </c>
      <c r="H8" s="52" t="s">
        <v>456</v>
      </c>
      <c r="I8" s="51">
        <v>0</v>
      </c>
      <c r="J8" s="51" t="s">
        <v>457</v>
      </c>
      <c r="K8" s="51">
        <v>7</v>
      </c>
      <c r="L8" s="51">
        <v>0</v>
      </c>
      <c r="M8" s="51">
        <v>0</v>
      </c>
      <c r="N8" s="51">
        <v>0</v>
      </c>
      <c r="O8" s="53">
        <v>45932</v>
      </c>
    </row>
    <row r="9" spans="2:15" s="38" customFormat="1" ht="34.9" customHeight="1">
      <c r="B9" s="50" t="s">
        <v>64</v>
      </c>
      <c r="C9" s="50" t="s">
        <v>269</v>
      </c>
      <c r="D9" s="49" t="s">
        <v>484</v>
      </c>
      <c r="E9" s="50">
        <v>14593500000000</v>
      </c>
      <c r="F9" s="50" t="s">
        <v>485</v>
      </c>
      <c r="G9" s="51">
        <v>135</v>
      </c>
      <c r="H9" s="52" t="s">
        <v>486</v>
      </c>
      <c r="I9" s="51">
        <v>0</v>
      </c>
      <c r="J9" s="51" t="s">
        <v>457</v>
      </c>
      <c r="K9" s="51">
        <v>0</v>
      </c>
      <c r="L9" s="51">
        <v>0</v>
      </c>
      <c r="M9" s="51"/>
      <c r="N9" s="51"/>
      <c r="O9" s="53">
        <v>45981</v>
      </c>
    </row>
    <row r="10" spans="2:15" s="38" customFormat="1" ht="34.9" customHeight="1">
      <c r="B10" s="54" t="s">
        <v>73</v>
      </c>
      <c r="C10" s="50" t="s">
        <v>269</v>
      </c>
      <c r="D10" s="42" t="s">
        <v>471</v>
      </c>
      <c r="E10" s="39">
        <v>369473557</v>
      </c>
      <c r="F10" s="39">
        <v>12</v>
      </c>
      <c r="G10" s="51">
        <v>0</v>
      </c>
      <c r="H10" s="51">
        <v>0</v>
      </c>
      <c r="I10" s="51">
        <v>0</v>
      </c>
      <c r="J10" s="51">
        <v>0</v>
      </c>
      <c r="K10" s="40">
        <v>3</v>
      </c>
      <c r="L10" s="51">
        <v>0</v>
      </c>
      <c r="M10" s="51">
        <v>0</v>
      </c>
      <c r="N10" s="51">
        <v>0</v>
      </c>
      <c r="O10" s="41">
        <v>45965</v>
      </c>
    </row>
    <row r="11" spans="2:15" s="38" customFormat="1" ht="34.9" customHeight="1">
      <c r="B11" s="55" t="s">
        <v>91</v>
      </c>
      <c r="C11" s="59" t="s">
        <v>269</v>
      </c>
      <c r="D11" s="62" t="s">
        <v>472</v>
      </c>
      <c r="E11" s="63">
        <v>10778878</v>
      </c>
      <c r="F11" s="58" t="s">
        <v>459</v>
      </c>
      <c r="G11" s="58">
        <v>0</v>
      </c>
      <c r="H11" s="58">
        <v>0</v>
      </c>
      <c r="I11" s="58">
        <v>0</v>
      </c>
      <c r="J11" s="58">
        <v>0</v>
      </c>
      <c r="K11" s="61">
        <v>58</v>
      </c>
      <c r="L11" s="58">
        <v>0</v>
      </c>
      <c r="M11" s="58">
        <v>0</v>
      </c>
      <c r="N11" s="56">
        <v>0</v>
      </c>
      <c r="O11" s="57">
        <v>45985</v>
      </c>
    </row>
    <row r="12" spans="2:15" s="38" customFormat="1" ht="34.9" customHeight="1">
      <c r="B12" s="55" t="s">
        <v>91</v>
      </c>
      <c r="C12" s="59" t="s">
        <v>269</v>
      </c>
      <c r="D12" s="60" t="s">
        <v>461</v>
      </c>
      <c r="E12" s="58">
        <v>367280630</v>
      </c>
      <c r="F12" s="58" t="s">
        <v>460</v>
      </c>
      <c r="G12" s="61">
        <v>0</v>
      </c>
      <c r="H12" s="58">
        <v>0</v>
      </c>
      <c r="I12" s="58">
        <v>0</v>
      </c>
      <c r="J12" s="58">
        <v>0</v>
      </c>
      <c r="K12" s="56">
        <v>1</v>
      </c>
      <c r="L12" s="65">
        <v>0</v>
      </c>
      <c r="M12" s="66">
        <v>0</v>
      </c>
      <c r="N12" s="56">
        <v>0</v>
      </c>
      <c r="O12" s="57">
        <v>45985</v>
      </c>
    </row>
    <row r="13" spans="2:15" s="38" customFormat="1" ht="53.25" customHeight="1">
      <c r="B13" s="55" t="s">
        <v>91</v>
      </c>
      <c r="C13" s="59" t="s">
        <v>269</v>
      </c>
      <c r="D13" s="62" t="s">
        <v>462</v>
      </c>
      <c r="E13" s="58">
        <v>10684960</v>
      </c>
      <c r="F13" s="59" t="s">
        <v>463</v>
      </c>
      <c r="G13" s="59">
        <v>0</v>
      </c>
      <c r="H13" s="58">
        <v>0</v>
      </c>
      <c r="I13" s="58">
        <v>0</v>
      </c>
      <c r="J13" s="58">
        <v>0</v>
      </c>
      <c r="K13" s="58">
        <v>351</v>
      </c>
      <c r="L13" s="58">
        <v>0</v>
      </c>
      <c r="M13" s="58">
        <v>0</v>
      </c>
      <c r="N13" s="56">
        <v>0</v>
      </c>
      <c r="O13" s="57">
        <v>45985</v>
      </c>
    </row>
    <row r="14" spans="2:15" s="38" customFormat="1" ht="45.75" customHeight="1">
      <c r="B14" s="55" t="s">
        <v>91</v>
      </c>
      <c r="C14" s="59" t="s">
        <v>269</v>
      </c>
      <c r="D14" s="62" t="s">
        <v>473</v>
      </c>
      <c r="E14" s="58">
        <v>146254724</v>
      </c>
      <c r="F14" s="59" t="s">
        <v>474</v>
      </c>
      <c r="G14" s="59">
        <v>0</v>
      </c>
      <c r="H14" s="58">
        <v>0</v>
      </c>
      <c r="I14" s="58">
        <v>0</v>
      </c>
      <c r="J14" s="58">
        <v>0</v>
      </c>
      <c r="K14" s="58">
        <v>1</v>
      </c>
      <c r="L14" s="58">
        <v>0</v>
      </c>
      <c r="M14" s="58">
        <v>0</v>
      </c>
      <c r="N14" s="56">
        <v>0</v>
      </c>
      <c r="O14" s="57">
        <v>45982</v>
      </c>
    </row>
    <row r="15" spans="2:15" s="38" customFormat="1" ht="42" customHeight="1">
      <c r="B15" s="55" t="s">
        <v>91</v>
      </c>
      <c r="C15" s="59" t="s">
        <v>269</v>
      </c>
      <c r="D15" s="62" t="s">
        <v>467</v>
      </c>
      <c r="E15" s="58">
        <v>70569406</v>
      </c>
      <c r="F15" s="59" t="s">
        <v>468</v>
      </c>
      <c r="G15" s="59">
        <v>0</v>
      </c>
      <c r="H15" s="58">
        <v>0</v>
      </c>
      <c r="I15" s="58">
        <v>0</v>
      </c>
      <c r="J15" s="58">
        <v>0</v>
      </c>
      <c r="K15" s="58">
        <v>93</v>
      </c>
      <c r="L15" s="58">
        <v>0</v>
      </c>
      <c r="M15" s="58">
        <v>0</v>
      </c>
      <c r="N15" s="56">
        <v>0</v>
      </c>
      <c r="O15" s="57">
        <v>45985</v>
      </c>
    </row>
    <row r="16" spans="2:15" s="38" customFormat="1" ht="41.25" customHeight="1">
      <c r="B16" s="55" t="s">
        <v>91</v>
      </c>
      <c r="C16" s="59" t="s">
        <v>269</v>
      </c>
      <c r="D16" s="62" t="s">
        <v>475</v>
      </c>
      <c r="E16" s="66">
        <v>526170462</v>
      </c>
      <c r="F16" s="66" t="s">
        <v>476</v>
      </c>
      <c r="G16" s="59">
        <v>0</v>
      </c>
      <c r="H16" s="58">
        <v>0</v>
      </c>
      <c r="I16" s="58">
        <v>0</v>
      </c>
      <c r="J16" s="58">
        <v>0</v>
      </c>
      <c r="K16" s="61">
        <v>45</v>
      </c>
      <c r="L16" s="58">
        <v>0</v>
      </c>
      <c r="M16" s="58">
        <v>0</v>
      </c>
      <c r="N16" s="56">
        <v>0</v>
      </c>
      <c r="O16" s="57">
        <v>45985</v>
      </c>
    </row>
    <row r="17" spans="2:15" s="38" customFormat="1" ht="43.5" customHeight="1">
      <c r="B17" s="55" t="s">
        <v>91</v>
      </c>
      <c r="C17" s="59" t="s">
        <v>269</v>
      </c>
      <c r="D17" s="62" t="s">
        <v>469</v>
      </c>
      <c r="E17" s="63">
        <v>12775559</v>
      </c>
      <c r="F17" s="58" t="s">
        <v>470</v>
      </c>
      <c r="G17" s="58">
        <v>0</v>
      </c>
      <c r="H17" s="58">
        <v>0</v>
      </c>
      <c r="I17" s="58">
        <v>0</v>
      </c>
      <c r="J17" s="58">
        <v>0</v>
      </c>
      <c r="K17" s="61">
        <v>5</v>
      </c>
      <c r="L17" s="58">
        <v>0</v>
      </c>
      <c r="M17" s="58">
        <v>0</v>
      </c>
      <c r="N17" s="56">
        <v>0</v>
      </c>
      <c r="O17" s="57">
        <v>45986</v>
      </c>
    </row>
    <row r="18" spans="2:15" s="38" customFormat="1" ht="43.5" customHeight="1">
      <c r="B18" s="55" t="s">
        <v>91</v>
      </c>
      <c r="C18" s="59" t="s">
        <v>269</v>
      </c>
      <c r="D18" s="62" t="s">
        <v>465</v>
      </c>
      <c r="E18" s="63">
        <v>16092350</v>
      </c>
      <c r="F18" s="58" t="s">
        <v>458</v>
      </c>
      <c r="G18" s="58">
        <v>0</v>
      </c>
      <c r="H18" s="58">
        <v>0</v>
      </c>
      <c r="I18" s="58">
        <v>0</v>
      </c>
      <c r="J18" s="58">
        <v>0</v>
      </c>
      <c r="K18" s="61">
        <v>43</v>
      </c>
      <c r="L18" s="58">
        <v>0</v>
      </c>
      <c r="M18" s="58">
        <v>0</v>
      </c>
      <c r="N18" s="56">
        <v>0</v>
      </c>
      <c r="O18" s="57">
        <v>45988</v>
      </c>
    </row>
    <row r="19" spans="2:15" s="38" customFormat="1" ht="43.5" customHeight="1">
      <c r="B19" s="55" t="s">
        <v>91</v>
      </c>
      <c r="C19" s="62" t="s">
        <v>269</v>
      </c>
      <c r="D19" s="67" t="s">
        <v>477</v>
      </c>
      <c r="E19" s="58">
        <v>363591860</v>
      </c>
      <c r="F19" s="58" t="s">
        <v>478</v>
      </c>
      <c r="G19" s="58">
        <v>0</v>
      </c>
      <c r="H19" s="58">
        <v>0</v>
      </c>
      <c r="I19" s="58">
        <v>0</v>
      </c>
      <c r="J19" s="58">
        <v>0</v>
      </c>
      <c r="K19" s="61">
        <v>43</v>
      </c>
      <c r="L19" s="58">
        <v>0</v>
      </c>
      <c r="M19" s="58">
        <v>0</v>
      </c>
      <c r="N19" s="56">
        <v>0</v>
      </c>
      <c r="O19" s="57">
        <v>45985</v>
      </c>
    </row>
    <row r="20" spans="2:15" s="38" customFormat="1" ht="43.5" customHeight="1">
      <c r="B20" s="55" t="s">
        <v>91</v>
      </c>
      <c r="C20" s="62" t="s">
        <v>269</v>
      </c>
      <c r="D20" s="67" t="s">
        <v>479</v>
      </c>
      <c r="E20" s="58">
        <v>140013735</v>
      </c>
      <c r="F20" s="58" t="s">
        <v>480</v>
      </c>
      <c r="G20" s="58">
        <v>0</v>
      </c>
      <c r="H20" s="58">
        <v>0</v>
      </c>
      <c r="I20" s="58">
        <v>0</v>
      </c>
      <c r="J20" s="58">
        <v>0</v>
      </c>
      <c r="K20" s="61">
        <v>1</v>
      </c>
      <c r="L20" s="58">
        <v>0</v>
      </c>
      <c r="M20" s="58">
        <v>0</v>
      </c>
      <c r="N20" s="56">
        <v>0</v>
      </c>
      <c r="O20" s="57">
        <v>45986</v>
      </c>
    </row>
    <row r="21" spans="2:15" s="38" customFormat="1" ht="43.5" customHeight="1">
      <c r="B21" s="55" t="s">
        <v>91</v>
      </c>
      <c r="C21" s="59" t="s">
        <v>269</v>
      </c>
      <c r="D21" s="67" t="s">
        <v>481</v>
      </c>
      <c r="E21" s="68">
        <v>11225176</v>
      </c>
      <c r="F21" s="68" t="s">
        <v>466</v>
      </c>
      <c r="G21" s="58">
        <v>0</v>
      </c>
      <c r="H21" s="58">
        <v>0</v>
      </c>
      <c r="I21" s="58">
        <v>0</v>
      </c>
      <c r="J21" s="58">
        <v>0</v>
      </c>
      <c r="K21" s="61">
        <v>9</v>
      </c>
      <c r="L21" s="58">
        <v>0</v>
      </c>
      <c r="M21" s="58">
        <v>0</v>
      </c>
      <c r="N21" s="56">
        <v>0</v>
      </c>
      <c r="O21" s="57">
        <v>45988</v>
      </c>
    </row>
    <row r="22" spans="2:15" s="38" customFormat="1" ht="43.5" customHeight="1">
      <c r="B22" s="55" t="s">
        <v>91</v>
      </c>
      <c r="C22" s="59" t="s">
        <v>269</v>
      </c>
      <c r="D22" s="67" t="s">
        <v>482</v>
      </c>
      <c r="E22" s="64">
        <v>277586360</v>
      </c>
      <c r="F22" s="64" t="s">
        <v>483</v>
      </c>
      <c r="G22" s="58">
        <v>0</v>
      </c>
      <c r="H22" s="58">
        <v>0</v>
      </c>
      <c r="I22" s="58">
        <v>0</v>
      </c>
      <c r="J22" s="58">
        <v>0</v>
      </c>
      <c r="K22" s="61">
        <v>450</v>
      </c>
      <c r="L22" s="58">
        <v>0</v>
      </c>
      <c r="M22" s="58">
        <v>0</v>
      </c>
      <c r="N22" s="56">
        <v>0</v>
      </c>
      <c r="O22" s="57">
        <v>45989</v>
      </c>
    </row>
    <row r="23" spans="2:15" s="38" customFormat="1" ht="43.5" customHeight="1">
      <c r="B23" s="43"/>
      <c r="C23" s="47"/>
      <c r="D23" s="48"/>
      <c r="E23" s="46"/>
      <c r="F23" s="47"/>
      <c r="G23" s="47"/>
      <c r="H23" s="46"/>
      <c r="I23" s="46"/>
      <c r="J23" s="46"/>
      <c r="K23" s="46"/>
      <c r="L23" s="46"/>
      <c r="M23" s="46"/>
      <c r="N23" s="44"/>
      <c r="O23" s="45">
        <v>45948</v>
      </c>
    </row>
    <row r="24" spans="2:15" s="38" customFormat="1" ht="43.5" customHeight="1">
      <c r="B24" s="43"/>
      <c r="C24" s="47"/>
      <c r="D24" s="48"/>
      <c r="E24" s="46"/>
      <c r="F24" s="47"/>
      <c r="G24" s="47"/>
      <c r="H24" s="46"/>
      <c r="I24" s="46"/>
      <c r="J24" s="46"/>
      <c r="K24" s="46"/>
      <c r="L24" s="46"/>
      <c r="M24" s="46"/>
      <c r="N24" s="44"/>
      <c r="O24" s="45">
        <v>45959</v>
      </c>
    </row>
    <row r="25" spans="2:15">
      <c r="G25">
        <f>SUM(G8:G24)</f>
        <v>135</v>
      </c>
      <c r="I25">
        <f>SUM(I8:I24)</f>
        <v>0</v>
      </c>
      <c r="J25">
        <f>SUM(J8:J24)</f>
        <v>0</v>
      </c>
      <c r="K25">
        <f>SUM(K8:K24)</f>
        <v>1110</v>
      </c>
      <c r="L25">
        <f>SUM(L8:L24)</f>
        <v>0</v>
      </c>
    </row>
  </sheetData>
  <mergeCells count="4">
    <mergeCell ref="B4:D4"/>
    <mergeCell ref="B6:F6"/>
    <mergeCell ref="L6:N6"/>
    <mergeCell ref="G6:J6"/>
  </mergeCells>
  <conditionalFormatting sqref="C2:D2">
    <cfRule type="expression" dxfId="0" priority="3">
      <formula>$C$2=0</formula>
    </cfRule>
  </conditionalFormatting>
  <dataValidations count="1">
    <dataValidation type="textLength" operator="equal" allowBlank="1" showInputMessage="1" showErrorMessage="1" prompt="Proszę wpisać REGON w formacie XXXXXXXXXXXXXX - 14 cyfrowy" sqref="E11:E24 E8:E9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2025-12-09T12:15:49Z</dcterms:modified>
</cp:coreProperties>
</file>
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C4C9FB3C-CE81-4880-AA2C-ACFF2DC231D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dane!$A$1:$O$32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5" l="1"/>
  <c r="G33" i="5"/>
  <c r="R54" i="5" s="1"/>
  <c r="E2" i="5"/>
  <c r="D2" i="5"/>
  <c r="C2" i="5" l="1"/>
</calcChain>
</file>

<file path=xl/sharedStrings.xml><?xml version="1.0" encoding="utf-8"?>
<sst xmlns="http://schemas.openxmlformats.org/spreadsheetml/2006/main" count="532" uniqueCount="495">
  <si>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</si>
  <si>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</si>
  <si>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</si>
  <si>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</si>
  <si>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</si>
  <si>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</si>
  <si>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</si>
  <si>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</si>
  <si>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</si>
  <si>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</si>
  <si>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</si>
  <si>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</si>
  <si>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</si>
  <si>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</si>
  <si>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</si>
  <si>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</si>
  <si>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</si>
  <si>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</si>
  <si>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</si>
  <si>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</si>
  <si>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</si>
  <si>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</si>
  <si>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</si>
  <si>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</si>
  <si>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</si>
  <si>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</si>
  <si>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</si>
  <si>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</si>
  <si>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</si>
  <si>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</si>
  <si>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</si>
  <si>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</si>
  <si>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</si>
  <si>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</si>
  <si>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</si>
  <si>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</si>
  <si>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</si>
  <si>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</si>
  <si>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</si>
  <si>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</si>
  <si>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</si>
  <si>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</si>
  <si>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</si>
  <si>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</si>
  <si>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</si>
  <si>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</si>
  <si>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</si>
  <si>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</si>
  <si>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</si>
  <si>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</si>
  <si>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</si>
  <si>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</si>
  <si>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</si>
  <si>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</si>
  <si>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</si>
  <si>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</si>
  <si>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</si>
  <si>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</si>
  <si>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</si>
  <si>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</si>
  <si>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</si>
  <si>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</si>
  <si>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</si>
  <si>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</si>
  <si>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</si>
  <si>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</si>
  <si>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</si>
  <si>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</si>
  <si>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</si>
  <si>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</si>
  <si>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</si>
  <si>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</si>
  <si>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</si>
  <si>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</si>
  <si>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</si>
  <si>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</si>
  <si>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</si>
  <si>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</si>
  <si>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</si>
  <si>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</si>
  <si>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</si>
  <si>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</si>
  <si>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</si>
  <si>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</si>
  <si>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</si>
  <si>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</si>
  <si>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</si>
  <si>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</si>
  <si>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</si>
  <si>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</si>
  <si>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</si>
  <si>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</si>
  <si>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</si>
  <si>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</si>
  <si>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</si>
  <si>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</si>
  <si>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</si>
  <si>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</si>
  <si>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</si>
  <si>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</si>
  <si>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</si>
  <si>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</si>
  <si>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</si>
  <si>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</si>
  <si>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</si>
  <si>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</si>
  <si>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</si>
  <si>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</si>
  <si>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</si>
  <si>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</si>
  <si>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</si>
  <si>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</si>
  <si>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</si>
  <si>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</si>
  <si>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</si>
  <si>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</si>
  <si>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</si>
  <si>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</si>
  <si>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</si>
  <si>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</si>
  <si>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</si>
  <si>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</si>
  <si>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</si>
  <si>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</si>
  <si>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</si>
  <si>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</si>
  <si>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</si>
  <si>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</si>
  <si>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</si>
  <si>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</si>
  <si>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</si>
  <si>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</si>
  <si>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</si>
  <si>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</si>
  <si>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</si>
  <si>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</si>
  <si>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</si>
  <si>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</si>
  <si>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</si>
  <si>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</si>
  <si>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</si>
  <si>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</si>
  <si>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</si>
  <si>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</si>
  <si>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</si>
  <si>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</si>
  <si>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</si>
  <si>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</si>
  <si>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</si>
  <si>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</si>
  <si>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</si>
  <si>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</si>
  <si>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</si>
  <si>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</si>
  <si>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</si>
  <si>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</si>
  <si>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</si>
  <si>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</si>
  <si>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</si>
  <si>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</si>
  <si>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</si>
  <si>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</si>
  <si>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</si>
  <si>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</si>
  <si>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</si>
  <si>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</si>
  <si>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</si>
  <si>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</si>
  <si>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</si>
  <si>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</si>
  <si>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</si>
  <si>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</si>
  <si>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</si>
  <si>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</si>
  <si>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</si>
  <si>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</si>
  <si>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</si>
  <si>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</si>
  <si>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</si>
  <si>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</si>
  <si>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</si>
  <si>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</si>
  <si>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</si>
  <si>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</si>
  <si>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</si>
  <si>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</si>
  <si>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</si>
  <si>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</si>
  <si>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</si>
  <si>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</si>
  <si>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</si>
  <si>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</si>
  <si>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</si>
  <si>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</si>
  <si>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</si>
  <si>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</si>
  <si>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</si>
  <si>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</si>
  <si>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</si>
  <si>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</si>
  <si>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</si>
  <si>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</si>
  <si>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</si>
  <si>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</si>
  <si>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</si>
  <si>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</si>
  <si>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</si>
  <si>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</si>
  <si>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</si>
  <si>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</si>
  <si>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</si>
  <si>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</si>
  <si>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</si>
  <si>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</si>
  <si>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</si>
  <si>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</si>
  <si>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</si>
  <si>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</si>
  <si>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</si>
  <si>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</si>
  <si>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</si>
  <si>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</si>
  <si>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</si>
  <si>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</si>
  <si>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</si>
  <si>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</si>
  <si>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</si>
  <si>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</si>
  <si>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</si>
  <si>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</si>
  <si>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</si>
  <si>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</si>
  <si>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</si>
  <si>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</si>
  <si>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</si>
  <si>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</si>
  <si>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</si>
  <si>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</si>
  <si>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</si>
  <si>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</si>
  <si>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</si>
  <si>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</si>
  <si>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</si>
  <si>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</si>
  <si>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</si>
  <si>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</si>
  <si>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</si>
  <si>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</si>
  <si>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</si>
  <si>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</si>
  <si>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</si>
  <si>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</si>
  <si>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</si>
  <si>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</si>
  <si>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</si>
  <si>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</si>
  <si>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</si>
  <si>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</si>
  <si>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</si>
  <si>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</si>
  <si>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</si>
  <si>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</si>
  <si>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</si>
  <si>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</si>
  <si>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</si>
  <si>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</si>
  <si>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</si>
  <si>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</si>
  <si>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</si>
  <si>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</si>
  <si>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</si>
  <si>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</si>
  <si>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</si>
  <si>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</si>
  <si>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</si>
  <si>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</si>
  <si>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</si>
  <si>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</si>
  <si>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</si>
  <si>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</si>
  <si>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</si>
  <si>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</si>
  <si>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</si>
  <si>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</si>
  <si>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</si>
  <si>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</si>
  <si>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</si>
  <si>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</si>
  <si>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</si>
  <si>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</si>
  <si>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</si>
  <si>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</si>
  <si>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</si>
  <si>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</si>
  <si>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</si>
  <si>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</si>
  <si>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</si>
  <si>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</si>
  <si>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</si>
  <si>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</si>
  <si>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</si>
  <si>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</si>
  <si>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</si>
  <si>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</si>
  <si>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</si>
  <si>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</si>
  <si>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</si>
  <si>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</si>
  <si>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</si>
  <si>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</si>
  <si>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</si>
  <si>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</si>
  <si>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</si>
  <si>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</si>
  <si>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</si>
  <si>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</si>
  <si>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</si>
  <si>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</si>
  <si>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</si>
  <si>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</si>
  <si>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</si>
  <si>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</si>
  <si>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</si>
  <si>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</si>
  <si>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</si>
  <si>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</si>
  <si>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</si>
  <si>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</si>
  <si>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</si>
  <si>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</si>
  <si>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</si>
  <si>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</si>
  <si>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</si>
  <si>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</si>
  <si>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</si>
  <si>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</si>
  <si>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</si>
  <si>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</si>
  <si>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</si>
  <si>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</si>
  <si>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</si>
  <si>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</si>
  <si>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</si>
  <si>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</si>
  <si>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</si>
  <si>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</si>
  <si>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</si>
  <si>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</si>
  <si>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</si>
  <si>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</si>
  <si>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</si>
  <si>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</si>
  <si>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</si>
  <si>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</si>
  <si>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</si>
  <si>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</si>
  <si>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</si>
  <si>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</si>
  <si>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</si>
  <si>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</si>
  <si>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</si>
  <si>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</si>
  <si>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</si>
  <si>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</si>
  <si>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</si>
  <si>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</si>
  <si>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</si>
  <si>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</si>
  <si>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</si>
  <si>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</si>
  <si>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</si>
  <si>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</si>
  <si>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</si>
  <si>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</si>
  <si>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</si>
  <si>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</si>
  <si>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</si>
  <si>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</si>
  <si>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</si>
  <si>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</si>
  <si>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</si>
  <si>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</si>
  <si>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</si>
  <si>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</si>
  <si>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</si>
  <si>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</si>
  <si>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</si>
  <si>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</si>
  <si>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</si>
  <si>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</si>
  <si>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</si>
  <si>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</si>
  <si>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</si>
  <si>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</si>
  <si>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</si>
  <si>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</si>
  <si>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</si>
  <si>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</si>
  <si>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</si>
  <si>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</si>
  <si>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</si>
  <si>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</si>
  <si>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</si>
  <si>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</si>
  <si>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</si>
  <si>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</si>
  <si>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</si>
  <si>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</si>
  <si>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</si>
  <si>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</si>
  <si>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</si>
  <si>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</si>
  <si>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</si>
  <si>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</si>
  <si>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</si>
  <si>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</si>
  <si>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</si>
  <si>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</si>
  <si>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</si>
  <si>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</si>
  <si>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</si>
  <si>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</si>
  <si>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</si>
  <si>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</si>
  <si>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</si>
  <si>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</si>
  <si>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</si>
  <si>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</si>
  <si>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</si>
  <si>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</si>
  <si>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</si>
  <si>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</si>
  <si>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</si>
  <si>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</si>
  <si>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</si>
  <si>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</si>
  <si>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</si>
  <si>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</si>
  <si>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</si>
  <si>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</si>
  <si>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</si>
  <si>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</si>
  <si>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</si>
  <si>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</si>
  <si>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</si>
  <si>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</si>
  <si>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</si>
  <si>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</si>
  <si>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</si>
  <si>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</si>
  <si>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</si>
  <si>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</si>
  <si>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nie</t>
  </si>
  <si>
    <t>tak</t>
  </si>
  <si>
    <t xml:space="preserve">BNP Paribas Bank Polska S.A.                            ul. M. Kasprzaka  10/16                                              01-211 Warszawa </t>
  </si>
  <si>
    <t>6419Z</t>
  </si>
  <si>
    <t>Stora Enso Poland S.A.</t>
  </si>
  <si>
    <t>17.12.Z</t>
  </si>
  <si>
    <t>H&amp;M Hennes &amp; Mauritz  Sp. z o.o.                              Al. Jerozolimskie 44                                                                00-024 Warszawa</t>
  </si>
  <si>
    <t>015292063</t>
  </si>
  <si>
    <t>4771Z</t>
  </si>
  <si>
    <t>3M Poland Manufacturing Sp. z o.o. - Oddział w Janinowie</t>
  </si>
  <si>
    <t>3299Z</t>
  </si>
  <si>
    <t>2361Z</t>
  </si>
  <si>
    <t>Xella Polska Sp.z o.o.                                           ul.Komietetu Obrony Robotników 48                                           02-146 Warszawa</t>
  </si>
  <si>
    <t>141349443</t>
  </si>
  <si>
    <t>Michał Pacuski</t>
  </si>
  <si>
    <t>m.pacuski@wup.mazowsze.pl</t>
  </si>
  <si>
    <t>48 22 578 45 83</t>
  </si>
  <si>
    <t>02212866800032</t>
  </si>
  <si>
    <t xml:space="preserve">  010778878</t>
  </si>
  <si>
    <t>TAK</t>
  </si>
  <si>
    <t>Granna Sp. z o.o.                                          ul. Księcia Ziemowita 47                                                                                        03-788 Warszawa</t>
  </si>
  <si>
    <t xml:space="preserve">  016344939</t>
  </si>
  <si>
    <t>1814Z</t>
  </si>
  <si>
    <t>10-12.2023 r.</t>
  </si>
  <si>
    <t>AR CLEANING  Sp. z o.o.                                      ul. Hoża 86 lok 410                                  00-682 Warszawa</t>
  </si>
  <si>
    <t>521316062</t>
  </si>
  <si>
    <t>8110Z</t>
  </si>
  <si>
    <t>MZ EUROPE Sp. z o.o.                                    ul. Tytusa Chałubińskiego  8                         00-613 Warszawa</t>
  </si>
  <si>
    <t>4634B</t>
  </si>
  <si>
    <t>BNP Paribas Polska Spółka Akcyjna                                                   ul. M. Kasprzaka 2                               01-211 Warszawa</t>
  </si>
  <si>
    <t>010778878</t>
  </si>
  <si>
    <t>01.2024 r. - 12.2026 r.</t>
  </si>
  <si>
    <t xml:space="preserve">Pracodawca poinformował,                                  że program outplacmentowy będzie realizowany przez firmę zewnętrzna </t>
  </si>
  <si>
    <t>Frito Lay Poland                                       Pl. Konesera  12                                         03-736 Warszawa</t>
  </si>
  <si>
    <t>012688286</t>
  </si>
  <si>
    <t>4639Z</t>
  </si>
  <si>
    <t>10-.2023 r.-03.2024 r.</t>
  </si>
  <si>
    <t xml:space="preserve">nie </t>
  </si>
  <si>
    <t>British American Tabacco Polska Trading Sp. z o.o.                                                                         ul. Krakowiaków 48                                             02-255 Warszawa</t>
  </si>
  <si>
    <t>4635Z</t>
  </si>
  <si>
    <t>363074856</t>
  </si>
  <si>
    <t>3314Z</t>
  </si>
  <si>
    <t>FIELDCORE SERVICES SOLUTIONS GMBH Spółka z o.o.                                           ul. Stoczniowa 2  04-713 Elbląg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</si>
</sst>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5]General"/>
  </numFmts>
  <fonts count="2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name val="Calibri"/>
      <family val="2"/>
      <charset val="238"/>
    </font>
    <font>
      <sz val="10"/>
      <name val="Arial"/>
      <family val="2"/>
      <charset val="238"/>
    </font>
    <font>
      <sz val="11"/>
      <color rgb="FF4D5156"/>
      <name val="Arial"/>
      <family val="2"/>
      <charset val="238"/>
    </font>
    <font>
      <sz val="10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6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34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2" fillId="0" borderId="2" xfId="0" applyFont="1" applyBorder="1" applyAlignment="1">
      <alignment horizontal="center"/>
    </xf>
    <xf numFmtId="49" fontId="2" fillId="0" borderId="1" xfId="1" applyNumberForma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 wrapText="1"/>
    </xf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/>
    </xf>
    <xf numFmtId="14" fontId="2" fillId="0" borderId="1" xfId="1" applyNumberFormat="1" applyBorder="1"/>
    <xf numFmtId="1" fontId="2" fillId="0" borderId="2" xfId="1" applyNumberFormat="1" applyBorder="1" applyAlignment="1">
      <alignment horizontal="center"/>
    </xf>
    <xf numFmtId="0" fontId="2" fillId="0" borderId="1" xfId="1" applyFont="1" applyBorder="1" applyAlignment="1">
      <alignment wrapText="1"/>
    </xf>
    <xf numFmtId="12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12" fontId="2" fillId="0" borderId="2" xfId="7" applyNumberFormat="1" applyFont="1" applyBorder="1" applyAlignment="1">
      <alignment horizontal="center"/>
    </xf>
    <xf numFmtId="0" fontId="2" fillId="0" borderId="2" xfId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left" wrapText="1"/>
    </xf>
    <xf numFmtId="0" fontId="19" fillId="0" borderId="1" xfId="1" applyFont="1" applyBorder="1"/>
    <xf numFmtId="0" fontId="2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14" fontId="2" fillId="0" borderId="1" xfId="1" applyNumberForma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right" vertical="center" wrapText="1"/>
    </xf>
    <xf numFmtId="14" fontId="2" fillId="0" borderId="1" xfId="1" applyNumberFormat="1" applyBorder="1" applyAlignment="1">
      <alignment horizontal="right" vertical="center" wrapText="1"/>
    </xf>
    <xf numFmtId="14" fontId="6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/>
    </xf>
    <xf numFmtId="0" fontId="0" fillId="0" borderId="16" xfId="0" applyBorder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49" fontId="2" fillId="0" borderId="16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8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.pacuski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E9" sqref="E9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290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466</v>
      </c>
      <c r="E13" s="27" t="s">
        <v>467</v>
      </c>
      <c r="F13" s="28" t="s">
        <v>468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127" t="s">
        <v>438</v>
      </c>
      <c r="D22" s="19"/>
    </row>
    <row r="23" spans="3:6" ht="26.25">
      <c r="C23" s="127"/>
      <c r="D23" s="20" t="s">
        <v>280</v>
      </c>
    </row>
    <row r="24" spans="3:6" ht="28.5" customHeight="1">
      <c r="C24" s="127"/>
    </row>
    <row r="25" spans="3:6">
      <c r="C25" s="22"/>
    </row>
    <row r="26" spans="3:6">
      <c r="C26" s="127" t="s">
        <v>439</v>
      </c>
    </row>
    <row r="27" spans="3:6">
      <c r="C27" s="127"/>
    </row>
    <row r="28" spans="3:6" ht="23.25" customHeight="1">
      <c r="C28" s="127"/>
    </row>
    <row r="29" spans="3:6">
      <c r="C29" s="22"/>
    </row>
    <row r="30" spans="3:6" ht="12.75" customHeight="1">
      <c r="C30" s="127" t="s">
        <v>440</v>
      </c>
    </row>
    <row r="31" spans="3:6" ht="12.75" customHeight="1">
      <c r="C31" s="127"/>
    </row>
    <row r="32" spans="3:6" ht="21.75" customHeight="1">
      <c r="C32" s="127"/>
    </row>
    <row r="33" spans="3:3" ht="14.25" customHeight="1">
      <c r="C33" s="127"/>
    </row>
    <row r="34" spans="3:3">
      <c r="C34" s="127"/>
    </row>
    <row r="35" spans="3:3">
      <c r="C35" s="127"/>
    </row>
    <row r="37" spans="3:3" ht="12.75" customHeight="1">
      <c r="C37" s="127" t="s">
        <v>448</v>
      </c>
    </row>
    <row r="38" spans="3:3" ht="12.75" customHeight="1">
      <c r="C38" s="127"/>
    </row>
    <row r="39" spans="3:3" ht="19.5" customHeight="1">
      <c r="C39" s="127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8"/>
  <sheetViews>
    <sheetView tabSelected="1" topLeftCell="A7" zoomScale="70" zoomScaleNormal="70" zoomScaleSheetLayoutView="100" workbookViewId="0">
      <selection activeCell="P16" sqref="P16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2:15" ht="20.100000000000001" customHeight="1">
      <c r="D1" s="31"/>
      <c r="F1" s="33"/>
    </row>
    <row r="2" spans="2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Październik </v>
      </c>
      <c r="E2" s="37">
        <f>'Dane podstawowe'!D8</f>
        <v>2023</v>
      </c>
      <c r="F2" s="38"/>
      <c r="G2" s="38"/>
      <c r="H2" s="38"/>
      <c r="I2" s="38"/>
    </row>
    <row r="3" spans="2:15" ht="20.100000000000001" customHeight="1">
      <c r="E3" s="40"/>
    </row>
    <row r="4" spans="2:15" ht="20.100000000000001" customHeight="1">
      <c r="B4" s="128" t="s">
        <v>430</v>
      </c>
      <c r="C4" s="128"/>
      <c r="D4" s="129"/>
      <c r="E4" s="40"/>
    </row>
    <row r="5" spans="2:15" ht="20.100000000000001" customHeight="1">
      <c r="B5" s="41"/>
      <c r="C5" s="41"/>
      <c r="D5" s="42"/>
      <c r="E5" s="40"/>
    </row>
    <row r="6" spans="2:15" ht="90.75" customHeight="1">
      <c r="B6" s="130" t="s">
        <v>444</v>
      </c>
      <c r="C6" s="130"/>
      <c r="D6" s="130"/>
      <c r="E6" s="130"/>
      <c r="F6" s="130"/>
      <c r="G6" s="131" t="s">
        <v>446</v>
      </c>
      <c r="H6" s="132"/>
      <c r="I6" s="132"/>
      <c r="J6" s="133"/>
      <c r="K6" s="47" t="s">
        <v>447</v>
      </c>
      <c r="L6" s="130" t="s">
        <v>445</v>
      </c>
      <c r="M6" s="130"/>
      <c r="N6" s="130"/>
      <c r="O6" s="43"/>
    </row>
    <row r="7" spans="2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2:15" ht="40.5" customHeight="1">
      <c r="B8" s="60" t="s">
        <v>55</v>
      </c>
      <c r="C8" s="60" t="s">
        <v>269</v>
      </c>
      <c r="D8" s="123" t="s">
        <v>461</v>
      </c>
      <c r="E8" s="124" t="s">
        <v>469</v>
      </c>
      <c r="F8" s="97" t="s">
        <v>462</v>
      </c>
      <c r="G8" s="97">
        <v>0</v>
      </c>
      <c r="H8" s="125">
        <v>0</v>
      </c>
      <c r="I8" s="61">
        <v>0</v>
      </c>
      <c r="J8" s="63" t="s">
        <v>471</v>
      </c>
      <c r="K8" s="61">
        <v>0</v>
      </c>
      <c r="L8" s="61">
        <v>0</v>
      </c>
      <c r="M8" s="61">
        <v>0</v>
      </c>
      <c r="N8" s="61">
        <v>0</v>
      </c>
      <c r="O8" s="62">
        <v>45226</v>
      </c>
    </row>
    <row r="9" spans="2:15" ht="48" customHeight="1">
      <c r="B9" s="60" t="s">
        <v>87</v>
      </c>
      <c r="C9" s="60" t="s">
        <v>269</v>
      </c>
      <c r="D9" s="1" t="s">
        <v>456</v>
      </c>
      <c r="E9" s="97">
        <v>550412627</v>
      </c>
      <c r="F9" s="97" t="s">
        <v>457</v>
      </c>
      <c r="G9" s="97">
        <v>0</v>
      </c>
      <c r="H9" s="97">
        <v>0</v>
      </c>
      <c r="I9" s="61">
        <v>0</v>
      </c>
      <c r="J9" s="61">
        <v>0</v>
      </c>
      <c r="K9" s="61">
        <v>2</v>
      </c>
      <c r="L9" s="61">
        <v>0</v>
      </c>
      <c r="M9" s="61">
        <v>0</v>
      </c>
      <c r="N9" s="61">
        <v>0</v>
      </c>
      <c r="O9" s="101">
        <v>45232</v>
      </c>
    </row>
    <row r="10" spans="2:15" ht="48" customHeight="1">
      <c r="B10" s="117"/>
      <c r="C10" s="60"/>
      <c r="D10" s="1"/>
      <c r="E10" s="97"/>
      <c r="F10" s="97"/>
      <c r="H10" s="126"/>
      <c r="I10" s="61"/>
      <c r="J10" s="61"/>
      <c r="K10" s="61"/>
      <c r="L10" s="61"/>
      <c r="M10" s="61"/>
      <c r="N10" s="61"/>
      <c r="O10" s="101"/>
    </row>
    <row r="11" spans="2:15" ht="48" customHeight="1">
      <c r="B11" s="118" t="s">
        <v>91</v>
      </c>
      <c r="C11" s="118" t="s">
        <v>269</v>
      </c>
      <c r="D11" s="119" t="s">
        <v>472</v>
      </c>
      <c r="E11" s="120" t="s">
        <v>473</v>
      </c>
      <c r="F11" s="104" t="s">
        <v>474</v>
      </c>
      <c r="G11" s="121">
        <v>43</v>
      </c>
      <c r="H11" s="122" t="s">
        <v>475</v>
      </c>
      <c r="I11" s="100">
        <v>0</v>
      </c>
      <c r="J11" s="100" t="s">
        <v>452</v>
      </c>
      <c r="K11" s="100"/>
      <c r="L11" s="100"/>
      <c r="M11" s="105"/>
      <c r="N11" s="105"/>
      <c r="O11" s="114">
        <v>45201</v>
      </c>
    </row>
    <row r="12" spans="2:15" ht="51" customHeight="1">
      <c r="B12" s="112" t="s">
        <v>91</v>
      </c>
      <c r="C12" s="112" t="s">
        <v>269</v>
      </c>
      <c r="D12" s="102" t="s">
        <v>476</v>
      </c>
      <c r="E12" s="103" t="s">
        <v>477</v>
      </c>
      <c r="F12" s="49" t="s">
        <v>478</v>
      </c>
      <c r="G12" s="100">
        <v>77</v>
      </c>
      <c r="H12" s="105" t="s">
        <v>475</v>
      </c>
      <c r="I12" s="100">
        <v>0</v>
      </c>
      <c r="J12" s="100" t="s">
        <v>452</v>
      </c>
      <c r="K12" s="100"/>
      <c r="L12" s="100"/>
      <c r="M12" s="105"/>
      <c r="N12" s="105"/>
      <c r="O12" s="114">
        <v>45210</v>
      </c>
    </row>
    <row r="13" spans="2:15" ht="53.25" customHeight="1">
      <c r="B13" s="112" t="s">
        <v>91</v>
      </c>
      <c r="C13" s="112" t="s">
        <v>269</v>
      </c>
      <c r="D13" s="102" t="s">
        <v>479</v>
      </c>
      <c r="E13" s="49">
        <v>146997810</v>
      </c>
      <c r="F13" s="49" t="s">
        <v>480</v>
      </c>
      <c r="G13" s="100">
        <v>29</v>
      </c>
      <c r="H13" s="105" t="s">
        <v>475</v>
      </c>
      <c r="I13" s="100">
        <v>0</v>
      </c>
      <c r="J13" s="100" t="s">
        <v>453</v>
      </c>
      <c r="K13" s="100"/>
      <c r="L13" s="100"/>
      <c r="M13" s="105"/>
      <c r="N13" s="105"/>
      <c r="O13" s="114">
        <v>45210</v>
      </c>
    </row>
    <row r="14" spans="2:15" ht="66" customHeight="1">
      <c r="B14" s="112" t="s">
        <v>91</v>
      </c>
      <c r="C14" s="112" t="s">
        <v>269</v>
      </c>
      <c r="D14" s="102" t="s">
        <v>481</v>
      </c>
      <c r="E14" s="103" t="s">
        <v>482</v>
      </c>
      <c r="F14" s="49" t="s">
        <v>455</v>
      </c>
      <c r="G14" s="100">
        <v>900</v>
      </c>
      <c r="H14" s="105" t="s">
        <v>483</v>
      </c>
      <c r="I14" s="100">
        <v>0</v>
      </c>
      <c r="J14" s="100" t="s">
        <v>452</v>
      </c>
      <c r="K14" s="106"/>
      <c r="L14" s="100">
        <v>900</v>
      </c>
      <c r="M14" s="105" t="s">
        <v>484</v>
      </c>
      <c r="N14" s="105" t="s">
        <v>483</v>
      </c>
      <c r="O14" s="114">
        <v>45215</v>
      </c>
    </row>
    <row r="15" spans="2:15" ht="48" customHeight="1">
      <c r="B15" s="112" t="s">
        <v>91</v>
      </c>
      <c r="C15" s="112" t="s">
        <v>269</v>
      </c>
      <c r="D15" s="102" t="s">
        <v>485</v>
      </c>
      <c r="E15" s="103" t="s">
        <v>486</v>
      </c>
      <c r="F15" s="49" t="s">
        <v>487</v>
      </c>
      <c r="G15" s="100">
        <v>646</v>
      </c>
      <c r="H15" s="105" t="s">
        <v>488</v>
      </c>
      <c r="I15" s="100">
        <v>483</v>
      </c>
      <c r="J15" s="100" t="s">
        <v>489</v>
      </c>
      <c r="K15" s="106"/>
      <c r="L15" s="106"/>
      <c r="M15" s="107"/>
      <c r="N15" s="107"/>
      <c r="O15" s="114">
        <v>45222</v>
      </c>
    </row>
    <row r="16" spans="2:15" ht="51.75" customHeight="1">
      <c r="B16" s="112" t="s">
        <v>91</v>
      </c>
      <c r="C16" s="112" t="s">
        <v>269</v>
      </c>
      <c r="D16" s="58" t="s">
        <v>454</v>
      </c>
      <c r="E16" s="64" t="s">
        <v>470</v>
      </c>
      <c r="F16" s="85" t="s">
        <v>455</v>
      </c>
      <c r="G16" s="75">
        <v>0</v>
      </c>
      <c r="H16" s="77">
        <v>0</v>
      </c>
      <c r="I16" s="75">
        <v>0</v>
      </c>
      <c r="J16" s="75">
        <v>0</v>
      </c>
      <c r="K16" s="75">
        <v>12</v>
      </c>
      <c r="L16" s="75">
        <v>0</v>
      </c>
      <c r="M16" s="77">
        <v>0</v>
      </c>
      <c r="N16" s="77">
        <v>0</v>
      </c>
      <c r="O16" s="115">
        <v>45232</v>
      </c>
    </row>
    <row r="17" spans="2:16" ht="60.75" customHeight="1">
      <c r="B17" s="113" t="s">
        <v>91</v>
      </c>
      <c r="C17" s="113" t="s">
        <v>269</v>
      </c>
      <c r="D17" s="102" t="s">
        <v>490</v>
      </c>
      <c r="E17" s="108">
        <v>141817884</v>
      </c>
      <c r="F17" s="108" t="s">
        <v>491</v>
      </c>
      <c r="G17" s="109">
        <v>0</v>
      </c>
      <c r="H17" s="109">
        <v>0</v>
      </c>
      <c r="I17" s="109">
        <v>0</v>
      </c>
      <c r="J17" s="109">
        <v>0</v>
      </c>
      <c r="K17" s="109">
        <v>1</v>
      </c>
      <c r="L17" s="109">
        <v>0</v>
      </c>
      <c r="M17" s="109">
        <v>0</v>
      </c>
      <c r="N17" s="109">
        <v>0</v>
      </c>
      <c r="O17" s="116">
        <v>45229</v>
      </c>
    </row>
    <row r="18" spans="2:16" ht="44.25" customHeight="1">
      <c r="B18" s="113" t="s">
        <v>91</v>
      </c>
      <c r="C18" s="113" t="s">
        <v>269</v>
      </c>
      <c r="D18" s="102" t="s">
        <v>458</v>
      </c>
      <c r="E18" s="110" t="s">
        <v>459</v>
      </c>
      <c r="F18" s="49" t="s">
        <v>460</v>
      </c>
      <c r="G18" s="109">
        <v>0</v>
      </c>
      <c r="H18" s="109">
        <v>0</v>
      </c>
      <c r="I18" s="109">
        <v>0</v>
      </c>
      <c r="J18" s="109">
        <v>0</v>
      </c>
      <c r="K18" s="109">
        <v>10</v>
      </c>
      <c r="L18" s="109">
        <v>0</v>
      </c>
      <c r="M18" s="109">
        <v>0</v>
      </c>
      <c r="N18" s="109">
        <v>0</v>
      </c>
      <c r="O18" s="116">
        <v>45229</v>
      </c>
    </row>
    <row r="19" spans="2:16" ht="45.75" customHeight="1">
      <c r="B19" s="113" t="s">
        <v>91</v>
      </c>
      <c r="C19" s="113" t="s">
        <v>269</v>
      </c>
      <c r="D19" s="102" t="s">
        <v>464</v>
      </c>
      <c r="E19" s="103" t="s">
        <v>465</v>
      </c>
      <c r="F19" s="49" t="s">
        <v>463</v>
      </c>
      <c r="G19" s="109">
        <v>0</v>
      </c>
      <c r="H19" s="109">
        <v>0</v>
      </c>
      <c r="I19" s="109">
        <v>0</v>
      </c>
      <c r="J19" s="109">
        <v>0</v>
      </c>
      <c r="K19" s="109">
        <v>2</v>
      </c>
      <c r="L19" s="109">
        <v>0</v>
      </c>
      <c r="M19" s="109">
        <v>0</v>
      </c>
      <c r="N19" s="109">
        <v>0</v>
      </c>
      <c r="O19" s="116">
        <v>45229</v>
      </c>
    </row>
    <row r="20" spans="2:16" ht="51" customHeight="1">
      <c r="B20" s="113" t="s">
        <v>91</v>
      </c>
      <c r="C20" s="113" t="s">
        <v>269</v>
      </c>
      <c r="D20" s="102" t="s">
        <v>494</v>
      </c>
      <c r="E20" s="103" t="s">
        <v>492</v>
      </c>
      <c r="F20" s="111" t="s">
        <v>493</v>
      </c>
      <c r="G20" s="109">
        <v>0</v>
      </c>
      <c r="H20" s="109">
        <v>0</v>
      </c>
      <c r="I20" s="109">
        <v>0</v>
      </c>
      <c r="J20" s="109">
        <v>0</v>
      </c>
      <c r="K20" s="109">
        <v>1</v>
      </c>
      <c r="L20" s="109">
        <v>0</v>
      </c>
      <c r="M20" s="109">
        <v>0</v>
      </c>
      <c r="N20" s="109">
        <v>0</v>
      </c>
      <c r="O20" s="116">
        <v>45229</v>
      </c>
    </row>
    <row r="21" spans="2:16" ht="12.75">
      <c r="B21" s="66"/>
      <c r="C21" s="66"/>
      <c r="D21" s="70"/>
      <c r="E21" s="98"/>
      <c r="F21" s="98"/>
      <c r="G21" s="67">
        <v>1</v>
      </c>
      <c r="H21" s="67"/>
      <c r="I21" s="67"/>
      <c r="J21" s="63"/>
      <c r="K21" s="67"/>
      <c r="L21" s="67"/>
      <c r="M21" s="67"/>
      <c r="N21" s="67"/>
      <c r="O21" s="68"/>
    </row>
    <row r="22" spans="2:16" ht="12.75">
      <c r="B22" s="66"/>
      <c r="C22" s="66"/>
      <c r="D22" s="70"/>
      <c r="E22" s="98"/>
      <c r="F22" s="98"/>
      <c r="G22" s="97">
        <v>653</v>
      </c>
      <c r="H22" s="67"/>
      <c r="I22" s="67"/>
      <c r="J22" s="63"/>
      <c r="K22" s="67"/>
      <c r="L22" s="67"/>
      <c r="M22" s="67"/>
      <c r="N22" s="67"/>
      <c r="O22" s="68"/>
    </row>
    <row r="23" spans="2:16" ht="12.75">
      <c r="B23" s="66"/>
      <c r="C23" s="66"/>
      <c r="D23" s="70"/>
      <c r="E23" s="98"/>
      <c r="F23" s="98"/>
      <c r="G23" s="67"/>
      <c r="H23" s="67"/>
      <c r="I23" s="67"/>
      <c r="J23" s="63"/>
      <c r="K23" s="67"/>
      <c r="L23" s="67"/>
      <c r="M23" s="67"/>
      <c r="N23" s="67"/>
      <c r="O23" s="68"/>
    </row>
    <row r="24" spans="2:16" ht="12.75">
      <c r="B24" s="66"/>
      <c r="C24" s="66"/>
      <c r="D24" s="70"/>
      <c r="E24" s="71"/>
      <c r="F24" s="71"/>
      <c r="G24" s="74"/>
      <c r="H24" s="72"/>
      <c r="I24" s="69"/>
      <c r="J24" s="73"/>
      <c r="K24" s="67"/>
      <c r="L24" s="67"/>
      <c r="M24" s="67"/>
      <c r="N24" s="67"/>
      <c r="O24" s="99"/>
    </row>
    <row r="25" spans="2:16" ht="14.25">
      <c r="B25" s="78"/>
      <c r="C25" s="78"/>
      <c r="D25" s="86"/>
      <c r="E25" s="79"/>
      <c r="F25" s="87"/>
      <c r="G25" s="87"/>
      <c r="H25" s="83"/>
      <c r="I25" s="75"/>
      <c r="J25" s="82"/>
      <c r="K25" s="75"/>
      <c r="L25" s="76"/>
      <c r="M25" s="75"/>
      <c r="N25" s="75"/>
      <c r="O25" s="83"/>
    </row>
    <row r="26" spans="2:16" s="59" customFormat="1" ht="12.75">
      <c r="B26" s="49"/>
      <c r="C26" s="49"/>
      <c r="D26" s="58"/>
      <c r="E26" s="64"/>
      <c r="F26" s="85"/>
      <c r="G26" s="75"/>
      <c r="H26" s="77"/>
      <c r="I26" s="75"/>
      <c r="J26" s="75"/>
      <c r="K26" s="75"/>
      <c r="L26" s="75"/>
      <c r="M26" s="77"/>
      <c r="N26" s="77"/>
      <c r="O26" s="65"/>
    </row>
    <row r="27" spans="2:16" ht="12.75">
      <c r="B27" s="80"/>
      <c r="C27" s="80"/>
      <c r="D27" s="86"/>
      <c r="E27" s="84"/>
      <c r="F27" s="85"/>
      <c r="G27" s="95"/>
      <c r="H27" s="82"/>
      <c r="I27" s="95"/>
      <c r="J27" s="95"/>
      <c r="K27" s="95"/>
      <c r="L27" s="95"/>
      <c r="M27" s="82"/>
      <c r="N27" s="82"/>
      <c r="O27" s="83"/>
    </row>
    <row r="28" spans="2:16" ht="14.25">
      <c r="B28" s="81"/>
      <c r="C28" s="81"/>
      <c r="D28" s="86"/>
      <c r="E28" s="87"/>
      <c r="F28" s="88"/>
      <c r="G28" s="87"/>
      <c r="H28" s="87"/>
      <c r="I28" s="87"/>
      <c r="J28" s="87"/>
      <c r="K28" s="87"/>
      <c r="L28" s="87"/>
      <c r="M28" s="87"/>
      <c r="N28" s="87"/>
      <c r="O28" s="89"/>
      <c r="P28" s="30"/>
    </row>
    <row r="29" spans="2:16" ht="14.25">
      <c r="B29" s="81"/>
      <c r="C29" s="81"/>
      <c r="D29" s="86"/>
      <c r="E29" s="87"/>
      <c r="F29" s="88"/>
      <c r="G29" s="90"/>
      <c r="H29" s="90"/>
      <c r="I29" s="90"/>
      <c r="J29" s="90"/>
      <c r="K29" s="90"/>
      <c r="L29" s="90"/>
      <c r="M29" s="90"/>
      <c r="N29" s="90"/>
      <c r="O29" s="89"/>
    </row>
    <row r="30" spans="2:16" ht="14.25">
      <c r="B30" s="81"/>
      <c r="C30" s="81"/>
      <c r="D30" s="86"/>
      <c r="E30" s="91"/>
      <c r="F30" s="88"/>
      <c r="G30" s="90"/>
      <c r="H30" s="90"/>
      <c r="I30" s="90"/>
      <c r="J30" s="90"/>
      <c r="K30" s="90"/>
      <c r="L30" s="90"/>
      <c r="M30" s="90"/>
      <c r="N30" s="90"/>
      <c r="O30" s="89"/>
    </row>
    <row r="31" spans="2:16" ht="14.25">
      <c r="B31" s="81"/>
      <c r="C31" s="81"/>
      <c r="D31" s="92"/>
      <c r="E31" s="93"/>
      <c r="F31" s="94"/>
      <c r="G31" s="95"/>
      <c r="H31" s="90"/>
      <c r="I31" s="90"/>
      <c r="J31" s="90"/>
      <c r="K31" s="96"/>
      <c r="L31" s="90"/>
      <c r="M31" s="90"/>
      <c r="N31" s="90"/>
      <c r="O31" s="89"/>
    </row>
    <row r="32" spans="2:16" ht="14.25">
      <c r="B32" s="81"/>
      <c r="C32" s="81"/>
      <c r="D32" s="86"/>
      <c r="E32" s="93"/>
      <c r="F32" s="88"/>
      <c r="G32" s="90"/>
      <c r="H32" s="90"/>
      <c r="I32" s="90"/>
      <c r="J32" s="90"/>
      <c r="K32" s="90"/>
      <c r="L32" s="90"/>
      <c r="M32" s="90"/>
      <c r="N32" s="90"/>
      <c r="O32" s="89"/>
      <c r="P32" s="55"/>
    </row>
    <row r="33" spans="2:16" ht="14.25">
      <c r="B33" s="50"/>
      <c r="C33" s="50"/>
      <c r="D33" s="51"/>
      <c r="E33" s="54"/>
      <c r="F33" s="53"/>
      <c r="G33" s="48">
        <f>SUM(G8:G32)</f>
        <v>2349</v>
      </c>
      <c r="H33" s="48"/>
      <c r="I33" s="48"/>
      <c r="J33" s="48"/>
      <c r="K33" s="48">
        <f>SUM(K8:K32)</f>
        <v>28</v>
      </c>
      <c r="L33" s="48"/>
      <c r="M33" s="48"/>
      <c r="N33" s="48"/>
      <c r="O33" s="48"/>
      <c r="P33" s="55"/>
    </row>
    <row r="34" spans="2:16" ht="15">
      <c r="B34" s="56"/>
      <c r="C34" s="50"/>
      <c r="D34" s="51"/>
      <c r="E34" s="57"/>
      <c r="F34" s="53"/>
      <c r="G34" s="55"/>
      <c r="H34" s="48"/>
      <c r="I34" s="48"/>
      <c r="J34" s="48"/>
      <c r="K34" s="53"/>
      <c r="L34" s="48"/>
      <c r="M34" s="48"/>
      <c r="N34" s="48"/>
      <c r="O34" s="52"/>
      <c r="P34" s="55"/>
    </row>
    <row r="35" spans="2:16" ht="12.75"/>
    <row r="36" spans="2:16" ht="12.75"/>
    <row r="37" spans="2:16" ht="12.75"/>
    <row r="38" spans="2:16" ht="12.75"/>
    <row r="39" spans="2:16" ht="12.75"/>
    <row r="40" spans="2:16" ht="12.75"/>
    <row r="41" spans="2:16" ht="12.75"/>
    <row r="42" spans="2:16" ht="12.75"/>
    <row r="43" spans="2:16" ht="12.75"/>
    <row r="44" spans="2:16" ht="12.75"/>
    <row r="45" spans="2:16" ht="12.75"/>
    <row r="46" spans="2:16" ht="12.75"/>
    <row r="47" spans="2:16" ht="12.75"/>
    <row r="48" spans="2:16" ht="12.75"/>
    <row r="49" spans="18:18" ht="12.75"/>
    <row r="50" spans="18:18" ht="12.75"/>
    <row r="51" spans="18:18" ht="12.75"/>
    <row r="52" spans="18:18" ht="12.75"/>
    <row r="53" spans="18:18" ht="12.75">
      <c r="R53" s="29">
        <v>2348</v>
      </c>
    </row>
    <row r="54" spans="18:18" ht="12.75">
      <c r="R54" s="29">
        <f>R53-G33</f>
        <v>-1</v>
      </c>
    </row>
    <row r="55" spans="18:18" ht="12.75"/>
    <row r="56" spans="18:18" ht="12.75"/>
    <row r="57" spans="18:18" ht="12.75"/>
    <row r="58" spans="18:18" ht="12.75"/>
    <row r="59" spans="18:18" ht="12.75"/>
    <row r="60" spans="18:18" ht="12.75"/>
    <row r="61" spans="18:18" ht="12.75"/>
    <row r="62" spans="18:18" ht="12.75"/>
    <row r="63" spans="18:18" ht="12.75"/>
    <row r="64" spans="18:18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2023-11-30T08:55:32Z</dcterms:modified>
</cp:coreProperties>
</file>
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57AC0ECC-2C98-4723-9B4E-9FCC605B3F4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5" l="1"/>
  <c r="G34" i="5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G16" authorId="0" shapeId="0" xr:uid="{63738F57-71E9-464C-979C-35F472B36369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Zwolnieniem objęci są pracownicy z Centrali oraz sklepów zlokalizowanych na terenie całej Polski</t>
        </r>
      </text>
    </comment>
  </commentList>
</comments>
</file>

<file path=xl/sharedStrings.xml><?xml version="1.0" encoding="utf-8"?>
<sst xmlns="http://schemas.openxmlformats.org/spreadsheetml/2006/main" count="561" uniqueCount="507">
  <si>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</si>
  <si>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</si>
  <si>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</si>
  <si>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</si>
  <si>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</si>
  <si>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</si>
  <si>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</si>
  <si>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</si>
  <si>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</si>
  <si>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</si>
  <si>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</si>
  <si>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</si>
  <si>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</si>
  <si>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</si>
  <si>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</si>
  <si>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</si>
  <si>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</si>
  <si>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</si>
  <si>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</si>
  <si>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</si>
  <si>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</si>
  <si>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</si>
  <si>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</si>
  <si>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</si>
  <si>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</si>
  <si>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</si>
  <si>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</si>
  <si>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</si>
  <si>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</si>
  <si>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</si>
  <si>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</si>
  <si>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</si>
  <si>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</si>
  <si>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</si>
  <si>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</si>
  <si>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</si>
  <si>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</si>
  <si>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</si>
  <si>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</si>
  <si>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</si>
  <si>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</si>
  <si>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</si>
  <si>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</si>
  <si>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</si>
  <si>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</si>
  <si>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</si>
  <si>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</si>
  <si>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</si>
  <si>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</si>
  <si>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</si>
  <si>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</si>
  <si>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</si>
  <si>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</si>
  <si>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</si>
  <si>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</si>
  <si>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</si>
  <si>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</si>
  <si>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</si>
  <si>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</si>
  <si>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</si>
  <si>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</si>
  <si>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</si>
  <si>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</si>
  <si>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</si>
  <si>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</si>
  <si>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</si>
  <si>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</si>
  <si>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</si>
  <si>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</si>
  <si>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</si>
  <si>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</si>
  <si>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</si>
  <si>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</si>
  <si>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</si>
  <si>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</si>
  <si>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</si>
  <si>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</si>
  <si>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</si>
  <si>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</si>
  <si>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</si>
  <si>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</si>
  <si>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</si>
  <si>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</si>
  <si>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</si>
  <si>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</si>
  <si>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</si>
  <si>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</si>
  <si>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</si>
  <si>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</si>
  <si>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</si>
  <si>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</si>
  <si>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</si>
  <si>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</si>
  <si>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</si>
  <si>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</si>
  <si>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</si>
  <si>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</si>
  <si>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</si>
  <si>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</si>
  <si>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</si>
  <si>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</si>
  <si>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</si>
  <si>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</si>
  <si>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</si>
  <si>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</si>
  <si>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</si>
  <si>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</si>
  <si>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</si>
  <si>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</si>
  <si>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</si>
  <si>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</si>
  <si>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</si>
  <si>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</si>
  <si>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</si>
  <si>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</si>
  <si>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</si>
  <si>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</si>
  <si>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</si>
  <si>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</si>
  <si>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</si>
  <si>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</si>
  <si>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</si>
  <si>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</si>
  <si>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</si>
  <si>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</si>
  <si>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</si>
  <si>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</si>
  <si>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</si>
  <si>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</si>
  <si>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</si>
  <si>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</si>
  <si>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</si>
  <si>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</si>
  <si>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</si>
  <si>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</si>
  <si>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</si>
  <si>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</si>
  <si>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</si>
  <si>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</si>
  <si>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</si>
  <si>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</si>
  <si>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</si>
  <si>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</si>
  <si>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</si>
  <si>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</si>
  <si>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</si>
  <si>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</si>
  <si>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</si>
  <si>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</si>
  <si>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</si>
  <si>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</si>
  <si>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</si>
  <si>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</si>
  <si>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</si>
  <si>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</si>
  <si>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</si>
  <si>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</si>
  <si>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</si>
  <si>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</si>
  <si>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</si>
  <si>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</si>
  <si>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</si>
  <si>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</si>
  <si>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</si>
  <si>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</si>
  <si>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</si>
  <si>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</si>
  <si>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</si>
  <si>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</si>
  <si>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</si>
  <si>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</si>
  <si>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</si>
  <si>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</si>
  <si>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</si>
  <si>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</si>
  <si>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</si>
  <si>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</si>
  <si>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</si>
  <si>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</si>
  <si>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</si>
  <si>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</si>
  <si>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</si>
  <si>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</si>
  <si>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</si>
  <si>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</si>
  <si>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</si>
  <si>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</si>
  <si>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</si>
  <si>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</si>
  <si>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</si>
  <si>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</si>
  <si>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</si>
  <si>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</si>
  <si>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</si>
  <si>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</si>
  <si>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</si>
  <si>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</si>
  <si>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</si>
  <si>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</si>
  <si>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</si>
  <si>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</si>
  <si>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</si>
  <si>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</si>
  <si>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</si>
  <si>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</si>
  <si>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</si>
  <si>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</si>
  <si>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</si>
  <si>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</si>
  <si>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</si>
  <si>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</si>
  <si>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</si>
  <si>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</si>
  <si>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</si>
  <si>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</si>
  <si>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</si>
  <si>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</si>
  <si>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</si>
  <si>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</si>
  <si>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</si>
  <si>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</si>
  <si>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</si>
  <si>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</si>
  <si>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</si>
  <si>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</si>
  <si>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</si>
  <si>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</si>
  <si>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</si>
  <si>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</si>
  <si>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</si>
  <si>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</si>
  <si>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</si>
  <si>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</si>
  <si>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</si>
  <si>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</si>
  <si>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</si>
  <si>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</si>
  <si>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</si>
  <si>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</si>
  <si>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</si>
  <si>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</si>
  <si>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</si>
  <si>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</si>
  <si>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</si>
  <si>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</si>
  <si>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</si>
  <si>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</si>
  <si>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</si>
  <si>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</si>
  <si>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</si>
  <si>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</si>
  <si>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</si>
  <si>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</si>
  <si>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</si>
  <si>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</si>
  <si>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</si>
  <si>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</si>
  <si>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</si>
  <si>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</si>
  <si>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</si>
  <si>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</si>
  <si>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</si>
  <si>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</si>
  <si>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</si>
  <si>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</si>
  <si>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</si>
  <si>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</si>
  <si>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</si>
  <si>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</si>
  <si>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</si>
  <si>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</si>
  <si>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</si>
  <si>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</si>
  <si>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</si>
  <si>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</si>
  <si>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</si>
  <si>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</si>
  <si>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</si>
  <si>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</si>
  <si>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</si>
  <si>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</si>
  <si>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</si>
  <si>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</si>
  <si>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</si>
  <si>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</si>
  <si>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</si>
  <si>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</si>
  <si>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</si>
  <si>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</si>
  <si>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</si>
  <si>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</si>
  <si>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</si>
  <si>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</si>
  <si>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</si>
  <si>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</si>
  <si>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</si>
  <si>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</si>
  <si>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</si>
  <si>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</si>
  <si>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</si>
  <si>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</si>
  <si>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</si>
  <si>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</si>
  <si>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</si>
  <si>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</si>
  <si>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</si>
  <si>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</si>
  <si>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</si>
  <si>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</si>
  <si>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</si>
  <si>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</si>
  <si>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</si>
  <si>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</si>
  <si>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</si>
  <si>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</si>
  <si>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</si>
  <si>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</si>
  <si>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</si>
  <si>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</si>
  <si>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</si>
  <si>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</si>
  <si>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</si>
  <si>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</si>
  <si>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</si>
  <si>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</si>
  <si>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</si>
  <si>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</si>
  <si>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</si>
  <si>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</si>
  <si>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</si>
  <si>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</si>
  <si>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</si>
  <si>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</si>
  <si>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</si>
  <si>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</si>
  <si>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</si>
  <si>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</si>
  <si>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</si>
  <si>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</si>
  <si>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</si>
  <si>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</si>
  <si>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</si>
  <si>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</si>
  <si>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</si>
  <si>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</si>
  <si>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</si>
  <si>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</si>
  <si>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</si>
  <si>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</si>
  <si>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</si>
  <si>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</si>
  <si>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</si>
  <si>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</si>
  <si>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</si>
  <si>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</si>
  <si>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</si>
  <si>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</si>
  <si>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</si>
  <si>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</si>
  <si>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</si>
  <si>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</si>
  <si>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</si>
  <si>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</si>
  <si>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</si>
  <si>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</si>
  <si>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</si>
  <si>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</si>
  <si>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</si>
  <si>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</si>
  <si>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</si>
  <si>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</si>
  <si>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</si>
  <si>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</si>
  <si>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</si>
  <si>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</si>
  <si>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</si>
  <si>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</si>
  <si>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</si>
  <si>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</si>
  <si>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</si>
  <si>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</si>
  <si>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</si>
  <si>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</si>
  <si>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</si>
  <si>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</si>
  <si>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</si>
  <si>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</si>
  <si>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</si>
  <si>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</si>
  <si>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</si>
  <si>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</si>
  <si>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</si>
  <si>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</si>
  <si>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</si>
  <si>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</si>
  <si>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</si>
  <si>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</si>
  <si>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</si>
  <si>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</si>
  <si>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</si>
  <si>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</si>
  <si>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</si>
  <si>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</si>
  <si>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</si>
  <si>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</si>
  <si>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</si>
  <si>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</si>
  <si>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</si>
  <si>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</si>
  <si>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</si>
  <si>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</si>
  <si>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</si>
  <si>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</si>
  <si>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</si>
  <si>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</si>
  <si>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</si>
  <si>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</si>
  <si>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</si>
  <si>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</si>
  <si>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</si>
  <si>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</si>
  <si>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</si>
  <si>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</si>
  <si>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</si>
  <si>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</si>
  <si>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</si>
  <si>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</si>
  <si>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</si>
  <si>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</si>
  <si>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</si>
  <si>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</si>
  <si>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</si>
  <si>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</si>
  <si>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</si>
  <si>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</si>
  <si>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</si>
  <si>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</si>
  <si>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</si>
  <si>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</si>
  <si>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</si>
  <si>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</si>
  <si>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</si>
  <si>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</si>
  <si>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</si>
  <si>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</si>
  <si>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</si>
  <si>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</si>
  <si>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</si>
  <si>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</si>
  <si>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</si>
  <si>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</si>
  <si>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</si>
  <si>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</si>
  <si>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tak</t>
  </si>
  <si>
    <t xml:space="preserve">BNP Paribas Bank Polska S.A.                            ul. M. Kasprzaka  10/16                                              01-211 Warszawa </t>
  </si>
  <si>
    <t>6419Z</t>
  </si>
  <si>
    <t>Stora Enso Poland S.A.</t>
  </si>
  <si>
    <t>17.12.Z</t>
  </si>
  <si>
    <t>H&amp;M Hennes &amp; Mauritz  Sp. z o.o.                              Al. Jerozolimskie 44                                                                00-024 Warszawa</t>
  </si>
  <si>
    <t>015292063</t>
  </si>
  <si>
    <t>4771Z</t>
  </si>
  <si>
    <t>3M Poland Manufacturing Sp. z o.o. - Oddział w Janinowie</t>
  </si>
  <si>
    <t>3299Z</t>
  </si>
  <si>
    <t>H+H Polska Sp. z o.o.                                ul. Kupiecka  6                                           03-046 Warszawa</t>
  </si>
  <si>
    <t>2361Z</t>
  </si>
  <si>
    <t>STTAS Europe Sp. z o.o.                             ul. Żwirki i Wigury 18                                           02-092 Warszawa</t>
  </si>
  <si>
    <t>7022Z</t>
  </si>
  <si>
    <t>Xella Polska Sp.z o.o.                                           ul.Komietetu Obrony Robotników 48                                           02-146 Warszawa</t>
  </si>
  <si>
    <t>141349443</t>
  </si>
  <si>
    <t>Michał Pacuski</t>
  </si>
  <si>
    <t>m.pacuski@wup.mazowsze.pl</t>
  </si>
  <si>
    <t>48 22 578 45 83</t>
  </si>
  <si>
    <t>Przedsiębiorstwo Produkcyjno-Usługowo-Handlowe ,,ARM-ex" Barbara Mruk, Mariusz Mruk Spółka Jawna</t>
  </si>
  <si>
    <t>XXXXX005090657</t>
  </si>
  <si>
    <t>1520Z</t>
  </si>
  <si>
    <t>02212866800032</t>
  </si>
  <si>
    <t>02.10.2023 r.</t>
  </si>
  <si>
    <t>"LINK" SPÓŁKA Z OGRANICZONĄ ODPOWIEDZIALNOŚCIĄ</t>
  </si>
  <si>
    <t>4941Z</t>
  </si>
  <si>
    <t>Samodzielny Publiczny Zespół Zakładów Opieki Zdrowotnej w Przasnyszu</t>
  </si>
  <si>
    <t>REGON000302480</t>
  </si>
  <si>
    <t>86.10Z</t>
  </si>
  <si>
    <t>30.09.2023 - 30.04.2024</t>
  </si>
  <si>
    <t>Orifarm Healthcare Sp. z o.o.                           ul. Przyokopowa 31                                 01-208 Warszawa</t>
  </si>
  <si>
    <t xml:space="preserve">  387507348</t>
  </si>
  <si>
    <t>4646Z</t>
  </si>
  <si>
    <t>09-12.2023 r.</t>
  </si>
  <si>
    <t>Emagine Spółka z o.o.                            ul. Domaniewskiej 39A                                   02-672 Warszawa</t>
  </si>
  <si>
    <t>140920284</t>
  </si>
  <si>
    <t>7830Z</t>
  </si>
  <si>
    <t>Oriflame Poland Sp. z o.o.                           ul.Wołowska 22                                             02-675 Warszawa</t>
  </si>
  <si>
    <t>002197604</t>
  </si>
  <si>
    <t>4645Z</t>
  </si>
  <si>
    <t>Carrefour Polska                                       ul. Targowa 72                                          03-734 Warszawa</t>
  </si>
  <si>
    <t>070569406</t>
  </si>
  <si>
    <t>4711Z</t>
  </si>
  <si>
    <t>British Automotive Centrum                          Al. Waszyngtona 50                               03-910 Warszawa</t>
  </si>
  <si>
    <t>010558496</t>
  </si>
  <si>
    <t>4511Z</t>
  </si>
  <si>
    <t>bwin Poland S.A.                                       ul. Taneczna 18A                                              02-829 Warszawa</t>
  </si>
  <si>
    <t>010333455</t>
  </si>
  <si>
    <t>9200Z</t>
  </si>
  <si>
    <t xml:space="preserve">  010778878</t>
  </si>
  <si>
    <t>142010439</t>
  </si>
  <si>
    <t xml:space="preserve">Instytut Parazytologii                                             im. W Stefańskiego PAN w likwidacji                    ul.Twarda 51/55                                                         00-818 Warszawa </t>
  </si>
  <si>
    <t>000326322</t>
  </si>
  <si>
    <t>7219Z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</si>
</sst>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3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rgb="FF4D5156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5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 shrinkToFit="1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2" xfId="7" applyNumberFormat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20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4" fontId="2" fillId="0" borderId="1" xfId="1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pacuski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C6" sqref="C6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289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469</v>
      </c>
      <c r="E13" s="27" t="s">
        <v>470</v>
      </c>
      <c r="F13" s="28" t="s">
        <v>471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08" t="s">
        <v>438</v>
      </c>
      <c r="D22" s="19"/>
    </row>
    <row r="23" spans="3:6" ht="26.25">
      <c r="C23" s="108"/>
      <c r="D23" s="20" t="s">
        <v>280</v>
      </c>
    </row>
    <row r="24" spans="3:6" ht="28.5" customHeight="1">
      <c r="C24" s="108"/>
    </row>
    <row r="25" spans="3:6">
      <c r="C25" s="22"/>
    </row>
    <row r="26" spans="3:6">
      <c r="C26" s="108" t="s">
        <v>439</v>
      </c>
    </row>
    <row r="27" spans="3:6">
      <c r="C27" s="108"/>
    </row>
    <row r="28" spans="3:6" ht="23.25" customHeight="1">
      <c r="C28" s="108"/>
    </row>
    <row r="29" spans="3:6">
      <c r="C29" s="22"/>
    </row>
    <row r="30" spans="3:6" ht="12.75" customHeight="1">
      <c r="C30" s="108" t="s">
        <v>440</v>
      </c>
    </row>
    <row r="31" spans="3:6" ht="12.75" customHeight="1">
      <c r="C31" s="108"/>
    </row>
    <row r="32" spans="3:6" ht="21.75" customHeight="1">
      <c r="C32" s="108"/>
    </row>
    <row r="33" spans="3:3" ht="14.25" customHeight="1">
      <c r="C33" s="108"/>
    </row>
    <row r="34" spans="3:3">
      <c r="C34" s="108"/>
    </row>
    <row r="35" spans="3:3">
      <c r="C35" s="108"/>
    </row>
    <row r="37" spans="3:3" ht="12.75" customHeight="1">
      <c r="C37" s="108" t="s">
        <v>448</v>
      </c>
    </row>
    <row r="38" spans="3:3" ht="12.75" customHeight="1">
      <c r="C38" s="108"/>
    </row>
    <row r="39" spans="3:3" ht="19.5" customHeight="1">
      <c r="C39" s="108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5"/>
  <sheetViews>
    <sheetView tabSelected="1" topLeftCell="A13" zoomScaleNormal="100" zoomScaleSheetLayoutView="100" workbookViewId="0">
      <selection activeCell="K24" sqref="K24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Wrzesień </v>
      </c>
      <c r="E2" s="37">
        <f>'Dane podstawowe'!D8</f>
        <v>2023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109" t="s">
        <v>430</v>
      </c>
      <c r="C4" s="109"/>
      <c r="D4" s="110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111" t="s">
        <v>444</v>
      </c>
      <c r="C6" s="111"/>
      <c r="D6" s="111"/>
      <c r="E6" s="111"/>
      <c r="F6" s="111"/>
      <c r="G6" s="112" t="s">
        <v>446</v>
      </c>
      <c r="H6" s="113"/>
      <c r="I6" s="113"/>
      <c r="J6" s="114"/>
      <c r="K6" s="48" t="s">
        <v>447</v>
      </c>
      <c r="L6" s="111" t="s">
        <v>445</v>
      </c>
      <c r="M6" s="111"/>
      <c r="N6" s="111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39.75">
      <c r="A8" s="47"/>
      <c r="B8" s="62" t="s">
        <v>51</v>
      </c>
      <c r="C8" s="62" t="s">
        <v>269</v>
      </c>
      <c r="D8" s="65" t="s">
        <v>472</v>
      </c>
      <c r="E8" s="59" t="s">
        <v>473</v>
      </c>
      <c r="F8" s="102" t="s">
        <v>474</v>
      </c>
      <c r="G8" s="63">
        <v>28</v>
      </c>
      <c r="H8" s="67">
        <v>25092023</v>
      </c>
      <c r="I8" s="63">
        <v>0</v>
      </c>
      <c r="J8" s="66" t="s">
        <v>453</v>
      </c>
      <c r="K8" s="63">
        <v>28</v>
      </c>
      <c r="L8" s="63">
        <v>0</v>
      </c>
      <c r="M8" s="63">
        <v>0</v>
      </c>
      <c r="N8" s="63">
        <v>0</v>
      </c>
      <c r="O8" s="64"/>
    </row>
    <row r="9" spans="1:15" ht="25.5">
      <c r="B9" s="70" t="s">
        <v>55</v>
      </c>
      <c r="C9" s="70" t="s">
        <v>269</v>
      </c>
      <c r="D9" s="74" t="s">
        <v>461</v>
      </c>
      <c r="E9" s="103" t="s">
        <v>475</v>
      </c>
      <c r="F9" s="103" t="s">
        <v>462</v>
      </c>
      <c r="G9" s="71">
        <v>0</v>
      </c>
      <c r="H9" s="71">
        <v>0</v>
      </c>
      <c r="I9" s="71">
        <v>0</v>
      </c>
      <c r="J9" s="66" t="s">
        <v>453</v>
      </c>
      <c r="K9" s="71">
        <v>74</v>
      </c>
      <c r="L9" s="71">
        <v>0</v>
      </c>
      <c r="M9" s="71">
        <v>0</v>
      </c>
      <c r="N9" s="71">
        <v>0</v>
      </c>
      <c r="O9" s="72">
        <v>45198</v>
      </c>
    </row>
    <row r="10" spans="1:15" ht="12.75">
      <c r="B10" s="70" t="s">
        <v>87</v>
      </c>
      <c r="C10" s="70" t="s">
        <v>269</v>
      </c>
      <c r="D10" s="74" t="s">
        <v>456</v>
      </c>
      <c r="E10" s="103">
        <v>550412627</v>
      </c>
      <c r="F10" s="103" t="s">
        <v>457</v>
      </c>
      <c r="G10" s="71">
        <v>0</v>
      </c>
      <c r="H10" s="71"/>
      <c r="I10" s="71">
        <v>0</v>
      </c>
      <c r="J10" s="66"/>
      <c r="K10" s="71">
        <v>4</v>
      </c>
      <c r="L10" s="71">
        <v>0</v>
      </c>
      <c r="M10" s="71">
        <v>0</v>
      </c>
      <c r="N10" s="71">
        <v>0</v>
      </c>
      <c r="O10" s="104" t="s">
        <v>476</v>
      </c>
    </row>
    <row r="11" spans="1:15" ht="25.5">
      <c r="B11" s="70" t="s">
        <v>67</v>
      </c>
      <c r="C11" s="70" t="s">
        <v>269</v>
      </c>
      <c r="D11" s="74" t="s">
        <v>477</v>
      </c>
      <c r="E11" s="103"/>
      <c r="F11" s="105" t="s">
        <v>478</v>
      </c>
      <c r="G11" s="105">
        <v>651</v>
      </c>
      <c r="H11" s="106">
        <v>45322</v>
      </c>
      <c r="I11" s="71"/>
      <c r="J11" s="66"/>
      <c r="K11" s="71"/>
      <c r="L11" s="71"/>
      <c r="M11" s="71"/>
      <c r="N11" s="71"/>
      <c r="O11" s="72"/>
    </row>
    <row r="12" spans="1:15" ht="25.5">
      <c r="B12" s="70" t="s">
        <v>72</v>
      </c>
      <c r="C12" s="70" t="s">
        <v>269</v>
      </c>
      <c r="D12" s="74" t="s">
        <v>479</v>
      </c>
      <c r="E12" s="101" t="s">
        <v>480</v>
      </c>
      <c r="F12" s="103" t="s">
        <v>481</v>
      </c>
      <c r="G12" s="71">
        <v>465</v>
      </c>
      <c r="H12" s="71" t="s">
        <v>482</v>
      </c>
      <c r="I12" s="71">
        <v>465</v>
      </c>
      <c r="J12" s="66" t="s">
        <v>452</v>
      </c>
      <c r="K12" s="71">
        <v>0</v>
      </c>
      <c r="L12" s="71">
        <v>0</v>
      </c>
      <c r="M12" s="71">
        <v>0</v>
      </c>
      <c r="N12" s="71">
        <v>0</v>
      </c>
      <c r="O12" s="72">
        <v>45187</v>
      </c>
    </row>
    <row r="13" spans="1:15" ht="38.25">
      <c r="B13" s="70" t="s">
        <v>91</v>
      </c>
      <c r="C13" s="70" t="s">
        <v>269</v>
      </c>
      <c r="D13" s="74" t="s">
        <v>483</v>
      </c>
      <c r="E13" s="103" t="s">
        <v>484</v>
      </c>
      <c r="F13" s="103" t="s">
        <v>485</v>
      </c>
      <c r="G13" s="71">
        <v>14</v>
      </c>
      <c r="H13" s="71" t="s">
        <v>486</v>
      </c>
      <c r="I13" s="71"/>
      <c r="J13" s="66" t="s">
        <v>452</v>
      </c>
      <c r="K13" s="71"/>
      <c r="L13" s="71"/>
      <c r="M13" s="71"/>
      <c r="N13" s="71"/>
      <c r="O13" s="72">
        <v>45180</v>
      </c>
    </row>
    <row r="14" spans="1:15" ht="38.25">
      <c r="B14" s="70" t="s">
        <v>91</v>
      </c>
      <c r="C14" s="70" t="s">
        <v>269</v>
      </c>
      <c r="D14" s="74" t="s">
        <v>487</v>
      </c>
      <c r="E14" s="103" t="s">
        <v>488</v>
      </c>
      <c r="F14" s="103" t="s">
        <v>489</v>
      </c>
      <c r="G14" s="71">
        <v>18</v>
      </c>
      <c r="H14" s="71" t="s">
        <v>486</v>
      </c>
      <c r="I14" s="71"/>
      <c r="J14" s="66" t="s">
        <v>452</v>
      </c>
      <c r="K14" s="71"/>
      <c r="L14" s="71"/>
      <c r="M14" s="71"/>
      <c r="N14" s="71"/>
      <c r="O14" s="72">
        <v>45180</v>
      </c>
    </row>
    <row r="15" spans="1:15" ht="38.25">
      <c r="B15" s="70" t="s">
        <v>91</v>
      </c>
      <c r="C15" s="70" t="s">
        <v>269</v>
      </c>
      <c r="D15" s="74" t="s">
        <v>490</v>
      </c>
      <c r="E15" s="103" t="s">
        <v>491</v>
      </c>
      <c r="F15" s="103" t="s">
        <v>492</v>
      </c>
      <c r="G15" s="71">
        <v>102</v>
      </c>
      <c r="H15" s="71" t="s">
        <v>486</v>
      </c>
      <c r="I15" s="71"/>
      <c r="J15" s="66" t="s">
        <v>452</v>
      </c>
      <c r="K15" s="71"/>
      <c r="L15" s="71"/>
      <c r="M15" s="71"/>
      <c r="N15" s="71"/>
      <c r="O15" s="72">
        <v>45182</v>
      </c>
    </row>
    <row r="16" spans="1:15" ht="38.25">
      <c r="B16" s="70" t="s">
        <v>91</v>
      </c>
      <c r="C16" s="70" t="s">
        <v>269</v>
      </c>
      <c r="D16" s="74" t="s">
        <v>493</v>
      </c>
      <c r="E16" s="103" t="s">
        <v>494</v>
      </c>
      <c r="F16" s="103" t="s">
        <v>495</v>
      </c>
      <c r="G16" s="107">
        <v>200</v>
      </c>
      <c r="H16" s="71" t="s">
        <v>486</v>
      </c>
      <c r="I16" s="71"/>
      <c r="J16" s="66" t="s">
        <v>452</v>
      </c>
      <c r="K16" s="71"/>
      <c r="L16" s="71"/>
      <c r="M16" s="71"/>
      <c r="N16" s="71"/>
      <c r="O16" s="72">
        <v>45182</v>
      </c>
    </row>
    <row r="17" spans="2:16" ht="38.25">
      <c r="B17" s="70" t="s">
        <v>91</v>
      </c>
      <c r="C17" s="70" t="s">
        <v>269</v>
      </c>
      <c r="D17" s="74" t="s">
        <v>496</v>
      </c>
      <c r="E17" s="103" t="s">
        <v>497</v>
      </c>
      <c r="F17" s="103" t="s">
        <v>498</v>
      </c>
      <c r="G17" s="71">
        <v>28</v>
      </c>
      <c r="H17" s="71" t="s">
        <v>486</v>
      </c>
      <c r="I17" s="71"/>
      <c r="J17" s="66" t="s">
        <v>453</v>
      </c>
      <c r="K17" s="71"/>
      <c r="L17" s="71"/>
      <c r="M17" s="71"/>
      <c r="N17" s="71"/>
      <c r="O17" s="72">
        <v>45184</v>
      </c>
    </row>
    <row r="18" spans="2:16" ht="38.25">
      <c r="B18" s="70" t="s">
        <v>91</v>
      </c>
      <c r="C18" s="70" t="s">
        <v>269</v>
      </c>
      <c r="D18" s="74" t="s">
        <v>499</v>
      </c>
      <c r="E18" s="103" t="s">
        <v>500</v>
      </c>
      <c r="F18" s="103" t="s">
        <v>501</v>
      </c>
      <c r="G18" s="71">
        <v>20</v>
      </c>
      <c r="H18" s="71" t="s">
        <v>486</v>
      </c>
      <c r="I18" s="71"/>
      <c r="J18" s="66" t="s">
        <v>453</v>
      </c>
      <c r="K18" s="71"/>
      <c r="L18" s="71"/>
      <c r="M18" s="71"/>
      <c r="N18" s="71"/>
      <c r="O18" s="72">
        <v>45198</v>
      </c>
    </row>
    <row r="19" spans="2:16" ht="38.25">
      <c r="B19" s="70" t="s">
        <v>91</v>
      </c>
      <c r="C19" s="70" t="s">
        <v>269</v>
      </c>
      <c r="D19" s="74" t="s">
        <v>454</v>
      </c>
      <c r="E19" s="103" t="s">
        <v>502</v>
      </c>
      <c r="F19" s="103" t="s">
        <v>455</v>
      </c>
      <c r="G19" s="71">
        <v>0</v>
      </c>
      <c r="H19" s="71">
        <v>0</v>
      </c>
      <c r="I19" s="71">
        <v>0</v>
      </c>
      <c r="J19" s="66">
        <v>0</v>
      </c>
      <c r="K19" s="71">
        <v>7</v>
      </c>
      <c r="L19" s="71">
        <v>0</v>
      </c>
      <c r="M19" s="71">
        <v>0</v>
      </c>
      <c r="N19" s="71">
        <v>0</v>
      </c>
      <c r="O19" s="72">
        <v>45201</v>
      </c>
    </row>
    <row r="20" spans="2:16" ht="38.25">
      <c r="B20" s="70" t="s">
        <v>91</v>
      </c>
      <c r="C20" s="70" t="s">
        <v>269</v>
      </c>
      <c r="D20" s="74" t="s">
        <v>463</v>
      </c>
      <c r="E20" s="103">
        <v>140101184</v>
      </c>
      <c r="F20" s="103" t="s">
        <v>464</v>
      </c>
      <c r="G20" s="71">
        <v>0</v>
      </c>
      <c r="H20" s="71">
        <v>0</v>
      </c>
      <c r="I20" s="71">
        <v>0</v>
      </c>
      <c r="J20" s="66">
        <v>0</v>
      </c>
      <c r="K20" s="71">
        <v>1</v>
      </c>
      <c r="L20" s="71">
        <v>0</v>
      </c>
      <c r="M20" s="71">
        <v>0</v>
      </c>
      <c r="N20" s="71">
        <v>0</v>
      </c>
      <c r="O20" s="72">
        <v>45201</v>
      </c>
    </row>
    <row r="21" spans="2:16" ht="38.25">
      <c r="B21" s="70" t="s">
        <v>91</v>
      </c>
      <c r="C21" s="70" t="s">
        <v>269</v>
      </c>
      <c r="D21" s="74" t="s">
        <v>465</v>
      </c>
      <c r="E21" s="103" t="s">
        <v>503</v>
      </c>
      <c r="F21" s="103" t="s">
        <v>466</v>
      </c>
      <c r="G21" s="71">
        <v>0</v>
      </c>
      <c r="H21" s="71">
        <v>0</v>
      </c>
      <c r="I21" s="71">
        <v>0</v>
      </c>
      <c r="J21" s="66">
        <v>0</v>
      </c>
      <c r="K21" s="71">
        <v>7</v>
      </c>
      <c r="L21" s="71">
        <v>0</v>
      </c>
      <c r="M21" s="71">
        <v>0</v>
      </c>
      <c r="N21" s="71">
        <v>0</v>
      </c>
      <c r="O21" s="72">
        <v>45201</v>
      </c>
    </row>
    <row r="22" spans="2:16" ht="38.25">
      <c r="B22" s="70" t="s">
        <v>91</v>
      </c>
      <c r="C22" s="70" t="s">
        <v>269</v>
      </c>
      <c r="D22" s="74" t="s">
        <v>458</v>
      </c>
      <c r="E22" s="103" t="s">
        <v>459</v>
      </c>
      <c r="F22" s="103" t="s">
        <v>460</v>
      </c>
      <c r="G22" s="71">
        <v>0</v>
      </c>
      <c r="H22" s="71">
        <v>0</v>
      </c>
      <c r="I22" s="71">
        <v>0</v>
      </c>
      <c r="J22" s="66">
        <v>0</v>
      </c>
      <c r="K22" s="71">
        <v>65</v>
      </c>
      <c r="L22" s="71">
        <v>0</v>
      </c>
      <c r="M22" s="71">
        <v>0</v>
      </c>
      <c r="N22" s="71">
        <v>0</v>
      </c>
      <c r="O22" s="72">
        <v>45201</v>
      </c>
    </row>
    <row r="23" spans="2:16" ht="38.25">
      <c r="B23" s="70" t="s">
        <v>91</v>
      </c>
      <c r="C23" s="70" t="s">
        <v>269</v>
      </c>
      <c r="D23" s="74" t="s">
        <v>467</v>
      </c>
      <c r="E23" s="103" t="s">
        <v>468</v>
      </c>
      <c r="F23" s="103" t="s">
        <v>464</v>
      </c>
      <c r="G23" s="71">
        <v>0</v>
      </c>
      <c r="H23" s="71">
        <v>0</v>
      </c>
      <c r="I23" s="71">
        <v>0</v>
      </c>
      <c r="J23" s="66">
        <v>0</v>
      </c>
      <c r="K23" s="71">
        <v>3</v>
      </c>
      <c r="L23" s="71">
        <v>0</v>
      </c>
      <c r="M23" s="71">
        <v>0</v>
      </c>
      <c r="N23" s="71">
        <v>0</v>
      </c>
      <c r="O23" s="72">
        <v>45201</v>
      </c>
    </row>
    <row r="24" spans="2:16" ht="51">
      <c r="B24" s="70" t="s">
        <v>91</v>
      </c>
      <c r="C24" s="70" t="s">
        <v>269</v>
      </c>
      <c r="D24" s="74" t="s">
        <v>504</v>
      </c>
      <c r="E24" s="103" t="s">
        <v>505</v>
      </c>
      <c r="F24" s="103" t="s">
        <v>506</v>
      </c>
      <c r="G24" s="71">
        <v>0</v>
      </c>
      <c r="H24" s="71">
        <v>0</v>
      </c>
      <c r="I24" s="71">
        <v>0</v>
      </c>
      <c r="J24" s="66">
        <v>0</v>
      </c>
      <c r="K24" s="71">
        <v>5</v>
      </c>
      <c r="L24" s="71">
        <v>0</v>
      </c>
      <c r="M24" s="71">
        <v>0</v>
      </c>
      <c r="N24" s="71">
        <v>0</v>
      </c>
      <c r="O24" s="72">
        <v>45202</v>
      </c>
    </row>
    <row r="25" spans="2:16" ht="12.75">
      <c r="B25" s="70"/>
      <c r="C25" s="70"/>
      <c r="D25" s="74"/>
      <c r="E25" s="75"/>
      <c r="F25" s="75"/>
      <c r="G25" s="78"/>
      <c r="H25" s="76"/>
      <c r="I25" s="73"/>
      <c r="J25" s="77"/>
      <c r="K25" s="71"/>
      <c r="L25" s="71"/>
      <c r="M25" s="71"/>
      <c r="N25" s="71"/>
      <c r="O25" s="104"/>
    </row>
    <row r="26" spans="2:16" ht="14.25">
      <c r="B26" s="82"/>
      <c r="C26" s="82"/>
      <c r="D26" s="90"/>
      <c r="E26" s="83"/>
      <c r="F26" s="91"/>
      <c r="G26" s="91"/>
      <c r="H26" s="87"/>
      <c r="I26" s="79"/>
      <c r="J26" s="86"/>
      <c r="K26" s="79"/>
      <c r="L26" s="80"/>
      <c r="M26" s="79"/>
      <c r="N26" s="79"/>
      <c r="O26" s="87"/>
    </row>
    <row r="27" spans="2:16" s="61" customFormat="1" ht="12.75">
      <c r="B27" s="50"/>
      <c r="C27" s="50"/>
      <c r="D27" s="60"/>
      <c r="E27" s="68"/>
      <c r="F27" s="89"/>
      <c r="G27" s="79"/>
      <c r="H27" s="81"/>
      <c r="I27" s="79"/>
      <c r="J27" s="79"/>
      <c r="K27" s="79"/>
      <c r="L27" s="79"/>
      <c r="M27" s="81"/>
      <c r="N27" s="81"/>
      <c r="O27" s="69"/>
    </row>
    <row r="28" spans="2:16" ht="12.75">
      <c r="B28" s="84"/>
      <c r="C28" s="84"/>
      <c r="D28" s="90"/>
      <c r="E28" s="88"/>
      <c r="F28" s="89"/>
      <c r="G28" s="99"/>
      <c r="H28" s="86"/>
      <c r="I28" s="99"/>
      <c r="J28" s="99"/>
      <c r="K28" s="99"/>
      <c r="L28" s="99"/>
      <c r="M28" s="86"/>
      <c r="N28" s="86"/>
      <c r="O28" s="87"/>
    </row>
    <row r="29" spans="2:16" ht="14.25">
      <c r="B29" s="85"/>
      <c r="C29" s="85"/>
      <c r="D29" s="90"/>
      <c r="E29" s="91"/>
      <c r="F29" s="92"/>
      <c r="G29" s="91"/>
      <c r="H29" s="91"/>
      <c r="I29" s="91"/>
      <c r="J29" s="91"/>
      <c r="K29" s="91"/>
      <c r="L29" s="91"/>
      <c r="M29" s="91"/>
      <c r="N29" s="91"/>
      <c r="O29" s="93"/>
      <c r="P29" s="30"/>
    </row>
    <row r="30" spans="2:16" ht="14.25">
      <c r="B30" s="85"/>
      <c r="C30" s="85"/>
      <c r="D30" s="90"/>
      <c r="E30" s="91"/>
      <c r="F30" s="92"/>
      <c r="G30" s="94"/>
      <c r="H30" s="94"/>
      <c r="I30" s="94"/>
      <c r="J30" s="94"/>
      <c r="K30" s="94"/>
      <c r="L30" s="94"/>
      <c r="M30" s="94"/>
      <c r="N30" s="94"/>
      <c r="O30" s="93"/>
    </row>
    <row r="31" spans="2:16" ht="14.25">
      <c r="B31" s="85"/>
      <c r="C31" s="85"/>
      <c r="D31" s="90"/>
      <c r="E31" s="95"/>
      <c r="F31" s="92"/>
      <c r="G31" s="94"/>
      <c r="H31" s="94"/>
      <c r="I31" s="94"/>
      <c r="J31" s="94"/>
      <c r="K31" s="94"/>
      <c r="L31" s="94"/>
      <c r="M31" s="94"/>
      <c r="N31" s="94"/>
      <c r="O31" s="93"/>
    </row>
    <row r="32" spans="2:16" ht="14.25">
      <c r="B32" s="85"/>
      <c r="C32" s="85"/>
      <c r="D32" s="96"/>
      <c r="E32" s="97"/>
      <c r="F32" s="98"/>
      <c r="G32" s="99"/>
      <c r="H32" s="94"/>
      <c r="I32" s="94"/>
      <c r="J32" s="94"/>
      <c r="K32" s="100"/>
      <c r="L32" s="94"/>
      <c r="M32" s="94"/>
      <c r="N32" s="94"/>
      <c r="O32" s="93"/>
    </row>
    <row r="33" spans="2:16" ht="14.25">
      <c r="B33" s="85"/>
      <c r="C33" s="85"/>
      <c r="D33" s="90"/>
      <c r="E33" s="97"/>
      <c r="F33" s="92"/>
      <c r="G33" s="94"/>
      <c r="H33" s="94"/>
      <c r="I33" s="94"/>
      <c r="J33" s="94"/>
      <c r="K33" s="94"/>
      <c r="L33" s="94"/>
      <c r="M33" s="94"/>
      <c r="N33" s="94"/>
      <c r="O33" s="93"/>
      <c r="P33" s="56"/>
    </row>
    <row r="34" spans="2:16" ht="90.75" customHeight="1">
      <c r="B34" s="51"/>
      <c r="C34" s="51"/>
      <c r="D34" s="52"/>
      <c r="E34" s="55"/>
      <c r="F34" s="54"/>
      <c r="G34" s="49">
        <f>SUM(G8:G33)</f>
        <v>1526</v>
      </c>
      <c r="H34" s="49"/>
      <c r="I34" s="49"/>
      <c r="J34" s="49"/>
      <c r="K34" s="49">
        <f t="shared" ref="K34" si="0">SUM(K8:K33)</f>
        <v>194</v>
      </c>
      <c r="L34" s="49"/>
      <c r="M34" s="49"/>
      <c r="N34" s="49"/>
      <c r="O34" s="49"/>
      <c r="P34" s="56"/>
    </row>
    <row r="35" spans="2:16" ht="90.75" customHeight="1">
      <c r="B35" s="57"/>
      <c r="C35" s="51"/>
      <c r="D35" s="52"/>
      <c r="E35" s="58"/>
      <c r="F35" s="54"/>
      <c r="G35" s="56"/>
      <c r="H35" s="49"/>
      <c r="I35" s="49"/>
      <c r="J35" s="49"/>
      <c r="K35" s="54"/>
      <c r="L35" s="49"/>
      <c r="M35" s="49"/>
      <c r="N35" s="49"/>
      <c r="O35" s="53"/>
      <c r="P35" s="56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2023-10-09T09:09:53Z</dcterms:modified>
</cp:coreProperties>
</file>
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FBD9A6BD-E8C3-444A-A62A-E170D962AC6F}" xr6:coauthVersionLast="47" xr6:coauthVersionMax="47" xr10:uidLastSave="{00000000-0000-0000-0000-000000000000}"/>
  <bookViews>
    <workbookView xWindow="86280" yWindow="8685" windowWidth="29040" windowHeight="17520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dane!$A$1:$O$25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" l="1"/>
  <c r="K28" i="5"/>
  <c r="L28" i="5"/>
  <c r="G28" i="5"/>
  <c r="E2" i="5" l="1"/>
  <c r="D2" i="5"/>
  <c r="C2" i="5" l="1"/>
</calcChain>
</file>

<file path=xl/sharedStrings.xml><?xml version="1.0" encoding="utf-8"?>
<sst xmlns="http://schemas.openxmlformats.org/spreadsheetml/2006/main" count="555" uniqueCount="500">
  <si>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</si>
  <si>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</si>
  <si>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</si>
  <si>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</si>
  <si>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</si>
  <si>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</si>
  <si>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</si>
  <si>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</si>
  <si>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</si>
  <si>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</si>
  <si>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</si>
  <si>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</si>
  <si>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</si>
  <si>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</si>
  <si>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</si>
  <si>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</si>
  <si>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</si>
  <si>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</si>
  <si>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</si>
  <si>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</si>
  <si>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</si>
  <si>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</si>
  <si>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</si>
  <si>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</si>
  <si>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</si>
  <si>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</si>
  <si>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</si>
  <si>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</si>
  <si>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</si>
  <si>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</si>
  <si>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</si>
  <si>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</si>
  <si>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</si>
  <si>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</si>
  <si>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</si>
  <si>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</si>
  <si>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</si>
  <si>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</si>
  <si>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</si>
  <si>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</si>
  <si>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</si>
  <si>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</si>
  <si>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</si>
  <si>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</si>
  <si>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</si>
  <si>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</si>
  <si>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</si>
  <si>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</si>
  <si>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</si>
  <si>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</si>
  <si>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</si>
  <si>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</si>
  <si>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</si>
  <si>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</si>
  <si>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</si>
  <si>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</si>
  <si>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</si>
  <si>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</si>
  <si>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</si>
  <si>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</si>
  <si>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</si>
  <si>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</si>
  <si>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</si>
  <si>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</si>
  <si>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</si>
  <si>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</si>
  <si>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</si>
  <si>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</si>
  <si>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</si>
  <si>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</si>
  <si>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</si>
  <si>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</si>
  <si>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</si>
  <si>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</si>
  <si>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</si>
  <si>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</si>
  <si>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</si>
  <si>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</si>
  <si>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</si>
  <si>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</si>
  <si>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</si>
  <si>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</si>
  <si>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</si>
  <si>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</si>
  <si>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</si>
  <si>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</si>
  <si>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</si>
  <si>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</si>
  <si>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</si>
  <si>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</si>
  <si>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</si>
  <si>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</si>
  <si>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</si>
  <si>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</si>
  <si>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</si>
  <si>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</si>
  <si>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</si>
  <si>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</si>
  <si>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</si>
  <si>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</si>
  <si>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</si>
  <si>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</si>
  <si>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</si>
  <si>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</si>
  <si>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</si>
  <si>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</si>
  <si>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</si>
  <si>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</si>
  <si>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</si>
  <si>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</si>
  <si>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</si>
  <si>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</si>
  <si>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</si>
  <si>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</si>
  <si>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</si>
  <si>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</si>
  <si>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</si>
  <si>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</si>
  <si>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</si>
  <si>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</si>
  <si>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</si>
  <si>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</si>
  <si>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</si>
  <si>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</si>
  <si>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</si>
  <si>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</si>
  <si>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</si>
  <si>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</si>
  <si>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</si>
  <si>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</si>
  <si>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</si>
  <si>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</si>
  <si>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</si>
  <si>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</si>
  <si>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</si>
  <si>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</si>
  <si>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</si>
  <si>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</si>
  <si>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</si>
  <si>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</si>
  <si>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</si>
  <si>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</si>
  <si>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</si>
  <si>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</si>
  <si>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</si>
  <si>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</si>
  <si>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</si>
  <si>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</si>
  <si>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</si>
  <si>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</si>
  <si>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</si>
  <si>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</si>
  <si>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</si>
  <si>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</si>
  <si>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</si>
  <si>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</si>
  <si>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</si>
  <si>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</si>
  <si>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</si>
  <si>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</si>
  <si>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</si>
  <si>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</si>
  <si>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</si>
  <si>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</si>
  <si>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</si>
  <si>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</si>
  <si>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</si>
  <si>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</si>
  <si>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</si>
  <si>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</si>
  <si>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</si>
  <si>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</si>
  <si>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</si>
  <si>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</si>
  <si>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</si>
  <si>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</si>
  <si>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</si>
  <si>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</si>
  <si>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</si>
  <si>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</si>
  <si>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</si>
  <si>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</si>
  <si>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</si>
  <si>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</si>
  <si>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</si>
  <si>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</si>
  <si>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</si>
  <si>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</si>
  <si>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</si>
  <si>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</si>
  <si>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</si>
  <si>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</si>
  <si>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</si>
  <si>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</si>
  <si>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</si>
  <si>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</si>
  <si>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</si>
  <si>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</si>
  <si>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</si>
  <si>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</si>
  <si>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</si>
  <si>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</si>
  <si>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</si>
  <si>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</si>
  <si>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</si>
  <si>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</si>
  <si>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</si>
  <si>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</si>
  <si>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</si>
  <si>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</si>
  <si>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</si>
  <si>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</si>
  <si>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</si>
  <si>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</si>
  <si>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</si>
  <si>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</si>
  <si>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</si>
  <si>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</si>
  <si>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</si>
  <si>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</si>
  <si>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</si>
  <si>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</si>
  <si>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</si>
  <si>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</si>
  <si>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</si>
  <si>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</si>
  <si>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</si>
  <si>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</si>
  <si>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</si>
  <si>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</si>
  <si>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</si>
  <si>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</si>
  <si>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</si>
  <si>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</si>
  <si>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</si>
  <si>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</si>
  <si>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</si>
  <si>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</si>
  <si>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</si>
  <si>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</si>
  <si>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</si>
  <si>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</si>
  <si>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</si>
  <si>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</si>
  <si>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</si>
  <si>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</si>
  <si>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</si>
  <si>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</si>
  <si>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</si>
  <si>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</si>
  <si>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</si>
  <si>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</si>
  <si>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</si>
  <si>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</si>
  <si>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</si>
  <si>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</si>
  <si>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</si>
  <si>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</si>
  <si>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</si>
  <si>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</si>
  <si>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</si>
  <si>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</si>
  <si>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</si>
  <si>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</si>
  <si>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</si>
  <si>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</si>
  <si>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</si>
  <si>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</si>
  <si>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</si>
  <si>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</si>
  <si>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</si>
  <si>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</si>
  <si>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</si>
  <si>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</si>
  <si>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</si>
  <si>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</si>
  <si>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</si>
  <si>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</si>
  <si>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</si>
  <si>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</si>
  <si>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</si>
  <si>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</si>
  <si>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</si>
  <si>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</si>
  <si>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</si>
  <si>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</si>
  <si>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</si>
  <si>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</si>
  <si>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</si>
  <si>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</si>
  <si>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</si>
  <si>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</si>
  <si>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</si>
  <si>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</si>
  <si>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</si>
  <si>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</si>
  <si>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</si>
  <si>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</si>
  <si>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</si>
  <si>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</si>
  <si>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</si>
  <si>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</si>
  <si>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</si>
  <si>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</si>
  <si>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</si>
  <si>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</si>
  <si>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</si>
  <si>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</si>
  <si>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</si>
  <si>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</si>
  <si>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</si>
  <si>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</si>
  <si>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</si>
  <si>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</si>
  <si>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</si>
  <si>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</si>
  <si>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</si>
  <si>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</si>
  <si>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</si>
  <si>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</si>
  <si>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</si>
  <si>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</si>
  <si>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</si>
  <si>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</si>
  <si>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</si>
  <si>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</si>
  <si>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</si>
  <si>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</si>
  <si>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</si>
  <si>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</si>
  <si>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</si>
  <si>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</si>
  <si>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</si>
  <si>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</si>
  <si>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</si>
  <si>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</si>
  <si>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</si>
  <si>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</si>
  <si>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</si>
  <si>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</si>
  <si>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</si>
  <si>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</si>
  <si>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</si>
  <si>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</si>
  <si>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</si>
  <si>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</si>
  <si>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</si>
  <si>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</si>
  <si>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</si>
  <si>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</si>
  <si>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</si>
  <si>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</si>
  <si>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</si>
  <si>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</si>
  <si>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</si>
  <si>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</si>
  <si>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</si>
  <si>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</si>
  <si>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</si>
  <si>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</si>
  <si>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</si>
  <si>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</si>
  <si>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</si>
  <si>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</si>
  <si>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</si>
  <si>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</si>
  <si>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</si>
  <si>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</si>
  <si>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</si>
  <si>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</si>
  <si>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</si>
  <si>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</si>
  <si>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</si>
  <si>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</si>
  <si>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</si>
  <si>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</si>
  <si>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</si>
  <si>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</si>
  <si>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</si>
  <si>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</si>
  <si>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</si>
  <si>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</si>
  <si>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</si>
  <si>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</si>
  <si>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</si>
  <si>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</si>
  <si>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</si>
  <si>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</si>
  <si>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</si>
  <si>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</si>
  <si>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</si>
  <si>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</si>
  <si>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</si>
  <si>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</si>
  <si>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</si>
  <si>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</si>
  <si>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</si>
  <si>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</si>
  <si>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</si>
  <si>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</si>
  <si>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</si>
  <si>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</si>
  <si>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</si>
  <si>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</si>
  <si>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</si>
  <si>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</si>
  <si>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</si>
  <si>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</si>
  <si>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</si>
  <si>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</si>
  <si>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</si>
  <si>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</si>
  <si>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</si>
  <si>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</si>
  <si>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</si>
  <si>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</si>
  <si>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</si>
  <si>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</si>
  <si>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</si>
  <si>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</si>
  <si>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</si>
  <si>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</si>
  <si>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</si>
  <si>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</si>
  <si>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</si>
  <si>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</si>
  <si>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</si>
  <si>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</si>
  <si>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</si>
  <si>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</si>
  <si>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</si>
  <si>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</si>
  <si>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</si>
  <si>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</si>
  <si>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</si>
  <si>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</si>
  <si>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</si>
  <si>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</si>
  <si>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</si>
  <si>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</si>
  <si>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</si>
  <si>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</si>
  <si>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</si>
  <si>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</si>
  <si>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</si>
  <si>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</si>
  <si>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</si>
  <si>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</si>
  <si>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</si>
  <si>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Hubert Samul</t>
  </si>
  <si>
    <t>48 22 578 44 17</t>
  </si>
  <si>
    <t>h.samul@wup.mazowsze.pl</t>
  </si>
  <si>
    <t>nie</t>
  </si>
  <si>
    <t>tak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</si>
  <si>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</si>
  <si>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</si>
  <si>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</si>
  <si>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t>6619Z</t>
  </si>
  <si>
    <t>1413Z</t>
  </si>
  <si>
    <t>Levi Strauss Poland Sp. z o.o.</t>
  </si>
  <si>
    <t xml:space="preserve">nie </t>
  </si>
  <si>
    <t>mazowieckie</t>
  </si>
  <si>
    <t>SOLBIKA SP. Z O.O.</t>
  </si>
  <si>
    <t>2313Z</t>
  </si>
  <si>
    <t>od 28.02.2024 do 27.02.2025</t>
  </si>
  <si>
    <t>3316Z</t>
  </si>
  <si>
    <t>6419Z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</si>
  <si>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</si>
  <si>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4941Z</t>
  </si>
  <si>
    <t>7219Z</t>
  </si>
  <si>
    <t>14.11.2024-31.03.2025</t>
  </si>
  <si>
    <t>6202Z</t>
  </si>
  <si>
    <t>15.11.2024-01.05.2025</t>
  </si>
  <si>
    <t>Better Energy Poland sp. z o.o.                                                 ul. Plac Europejski 1, 38p                              00-844 Warszawa</t>
  </si>
  <si>
    <t>7010Z</t>
  </si>
  <si>
    <t>25.11.2024-25.12.2024</t>
  </si>
  <si>
    <t xml:space="preserve">Pracodawca poinformował, że zwalnianym pracownikom zapewni ,, pakiet outplacementowy" - pakiet profesjonalnych usług i porad z zakresu doradztwa zawodowego </t>
  </si>
  <si>
    <t>AMS POLAND sp. z o.o.                             ul. Marszałkowska 115,                           00-102 Warszawa</t>
  </si>
  <si>
    <t>11.2024-31.01.2025</t>
  </si>
  <si>
    <t>Centrum GovTech                                                                                     Al. Jana Christiana Szucha 25                                                       00-918  Warszawa</t>
  </si>
  <si>
    <t>6311Z</t>
  </si>
  <si>
    <t>PKP CARGO S.A. - Centralny Zakład Spółki 
ul. Pyrzyce  17
01-252 Warszawa</t>
  </si>
  <si>
    <t>4920Z</t>
  </si>
  <si>
    <t>Carrefour Polska                                                                             ul. Targowa 72                                                                                       03-734 Warszawa</t>
  </si>
  <si>
    <t>4711Z</t>
  </si>
  <si>
    <t>Teleperformance Polska sp.z o.o. 
ul. Wołowska 24
02-675 Warszawa</t>
  </si>
  <si>
    <t>8220Z</t>
  </si>
  <si>
    <t>PKP CARGOTABOR Sp. z o.o. 
ul. Pyrzyce  17
01-252 Warszawa</t>
  </si>
  <si>
    <t>3317Z</t>
  </si>
  <si>
    <t>AKZO NOBEL CAR REFINISHES POLSKA sp. z o.o.                                                       ul. Krakowiaków 50,                                               02-255 Warszawa</t>
  </si>
  <si>
    <t>2030Z</t>
  </si>
  <si>
    <t>Better Energy Poland sp. z o.o.                                                 ul. Plac Europejski 1, 38p                                          00-844 Warszawa</t>
  </si>
  <si>
    <t>Unilever Polska Sp. z o.o.               Al. Jerozolimskie 134,                               02-305 Warszawa</t>
  </si>
  <si>
    <t>4638Z</t>
  </si>
  <si>
    <t>BNP Paribas Polska Spółka Akcyjna                                                   ul. M. Kasprzaka 2                                                      01-211 Warszawa</t>
  </si>
  <si>
    <t>PKP CARGO S.A. - Centrala
ul. Grójecka 17
02-021 Warszawa</t>
  </si>
  <si>
    <t>MSP TRANSPORT sp. z o.o. ul. K. Gierdziejowskiego 7, 02-495 Warszawa</t>
  </si>
  <si>
    <t>Equinix ( Poland) Technology Services sp. z o. o. Al. Jerozolimskie 65/79,  00-697 Warszawa</t>
  </si>
  <si>
    <t xml:space="preserve">Citibank Europe plc  Oddział w Polsce ul. Prosta 36 00-838 Warszawa                 </t>
  </si>
  <si>
    <t>AMAZON MLS Poland sp. z o.o. ul. Towarowa 28, 04-111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</si>
</sst>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5]General"/>
    <numFmt numFmtId="165" formatCode="#,##0.00&quot; &quot;[$zł-415];[Red]&quot;-&quot;#,##0.00&quot; &quot;[$zł-415]"/>
  </numFmts>
  <fonts count="2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Arial"/>
      <family val="2"/>
      <charset val="238"/>
    </font>
    <font>
      <b/>
      <i/>
      <sz val="16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u/>
      <sz val="11"/>
      <color rgb="FF00000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u/>
      <sz val="10"/>
      <color theme="10"/>
      <name val="Arial"/>
      <charset val="238"/>
    </font>
    <font>
      <sz val="10"/>
      <color rgb="FF000000"/>
      <name val="Arial"/>
    </font>
    <font>
      <sz val="11"/>
      <color rgb="FF3E3D40"/>
      <name val="Arial"/>
      <family val="2"/>
      <charset val="238"/>
    </font>
    <font>
      <sz val="1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5050"/>
        <bgColor rgb="FFFF505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auto="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7" fillId="0" borderId="0"/>
    <xf numFmtId="0" fontId="17" fillId="4" borderId="0" applyNumberFormat="0" applyFont="0" applyBorder="0" applyAlignment="0" applyProtection="0"/>
    <xf numFmtId="0" fontId="17" fillId="4" borderId="0" applyNumberFormat="0" applyFont="0" applyBorder="0" applyProtection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164" fontId="19" fillId="0" borderId="0" applyBorder="0" applyProtection="0"/>
    <xf numFmtId="0" fontId="20" fillId="0" borderId="0" applyNumberFormat="0" applyBorder="0" applyProtection="0"/>
    <xf numFmtId="165" fontId="20" fillId="0" borderId="0" applyBorder="0" applyProtection="0"/>
    <xf numFmtId="43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164" fontId="15" fillId="0" borderId="0" applyBorder="0" applyProtection="0"/>
    <xf numFmtId="0" fontId="24" fillId="0" borderId="0" applyNumberFormat="0" applyFill="0" applyBorder="0" applyAlignment="0" applyProtection="0"/>
    <xf numFmtId="0" fontId="25" fillId="0" borderId="0"/>
    <xf numFmtId="0" fontId="2" fillId="0" borderId="0"/>
  </cellStyleXfs>
  <cellXfs count="88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 wrapText="1"/>
    </xf>
    <xf numFmtId="14" fontId="6" fillId="5" borderId="1" xfId="1" applyNumberFormat="1" applyFont="1" applyFill="1" applyBorder="1" applyAlignment="1">
      <alignment horizontal="center" vertical="center" wrapText="1"/>
    </xf>
    <xf numFmtId="49" fontId="6" fillId="5" borderId="1" xfId="1" applyNumberFormat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12" fontId="6" fillId="0" borderId="1" xfId="1" applyNumberFormat="1" applyFont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12" fontId="6" fillId="5" borderId="1" xfId="1" applyNumberFormat="1" applyFont="1" applyFill="1" applyBorder="1" applyAlignment="1">
      <alignment horizontal="center" vertical="center" wrapText="1"/>
    </xf>
    <xf numFmtId="14" fontId="27" fillId="0" borderId="1" xfId="1" applyNumberFormat="1" applyFont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" fontId="6" fillId="5" borderId="1" xfId="1" applyNumberFormat="1" applyFont="1" applyFill="1" applyBorder="1" applyAlignment="1">
      <alignment horizontal="center" vertical="center" wrapText="1"/>
    </xf>
    <xf numFmtId="0" fontId="6" fillId="5" borderId="1" xfId="1" applyNumberFormat="1" applyFont="1" applyFill="1" applyBorder="1" applyAlignment="1">
      <alignment horizontal="center" vertical="center" wrapText="1"/>
    </xf>
    <xf numFmtId="0" fontId="6" fillId="5" borderId="1" xfId="25" applyFont="1" applyFill="1" applyBorder="1" applyAlignment="1">
      <alignment horizontal="left" vertical="center" wrapText="1"/>
    </xf>
    <xf numFmtId="0" fontId="27" fillId="5" borderId="1" xfId="1" applyFont="1" applyFill="1" applyBorder="1" applyAlignment="1">
      <alignment horizontal="left" wrapText="1"/>
    </xf>
    <xf numFmtId="0" fontId="6" fillId="5" borderId="1" xfId="1" applyFont="1" applyFill="1" applyBorder="1" applyAlignment="1">
      <alignment vertical="top" wrapText="1"/>
    </xf>
    <xf numFmtId="0" fontId="27" fillId="5" borderId="1" xfId="1" applyFont="1" applyFill="1" applyBorder="1" applyAlignment="1">
      <alignment horizontal="left" vertical="center" wrapText="1"/>
    </xf>
  </cellXfs>
  <cellStyles count="26">
    <cellStyle name="cf1" xfId="11" xr:uid="{AA7A6DA0-0093-426D-A699-1195BFB3BF9B}"/>
    <cellStyle name="ConditionalStyle_1" xfId="12" xr:uid="{A3273840-DC2D-47EA-875E-4B2DE94B84D9}"/>
    <cellStyle name="Dziesiętny 2" xfId="6" xr:uid="{95F2F834-C8AF-4CFA-9632-7EC5FFBFCA5F}"/>
    <cellStyle name="Dziesiętny 3" xfId="7" xr:uid="{7D479643-D454-49EC-94B9-070247605B79}"/>
    <cellStyle name="Dziesiętny 4" xfId="18" xr:uid="{38B67BDC-1342-443F-8CF5-E69BBC6D277E}"/>
    <cellStyle name="Dziesiętny 5" xfId="20" xr:uid="{27497266-D830-410F-84E0-BF111E30C97A}"/>
    <cellStyle name="Excel Built-in Normal" xfId="4" xr:uid="{00000000-0005-0000-0000-000000000000}"/>
    <cellStyle name="Heading" xfId="13" xr:uid="{8FD49449-249C-40A2-B5BC-0348E9D196D2}"/>
    <cellStyle name="Heading1" xfId="14" xr:uid="{B1D612FF-9772-4248-8E9B-98C931D4B95C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Hiperłącze 5" xfId="19" xr:uid="{4CF43F06-1745-44DE-A45F-79BEF3DA3CB6}"/>
    <cellStyle name="Hiperłącze 6" xfId="23" xr:uid="{D5DBC958-5D59-40E0-A2FE-806955E8CCD5}"/>
    <cellStyle name="Normalny" xfId="0" builtinId="0"/>
    <cellStyle name="Normalny 2" xfId="1" xr:uid="{00000000-0005-0000-0000-000004000000}"/>
    <cellStyle name="Normalny 2 2" xfId="15" xr:uid="{B98047FA-D127-4765-903D-EA40A4F2E65C}"/>
    <cellStyle name="Normalny 2 3" xfId="22" xr:uid="{97798B86-E25A-4F87-A97B-3C9218C919E6}"/>
    <cellStyle name="Normalny 3" xfId="9" xr:uid="{8A5988CB-BBF9-435C-BF6D-3EAB49A0F372}"/>
    <cellStyle name="Normalny 3 2" xfId="25" xr:uid="{DA343BAE-EE55-41B0-8AAB-3EAB80CD520E}"/>
    <cellStyle name="Normalny 4" xfId="10" xr:uid="{1F413BD6-3A7A-46D6-ABF3-AE48C92DCFA6}"/>
    <cellStyle name="Normalny 5" xfId="21" xr:uid="{4D803DC8-74B2-44E7-A647-D6007EE348BB}"/>
    <cellStyle name="Normalny 6" xfId="24" xr:uid="{77CA489C-7CEA-4534-BC72-8FFD132486E2}"/>
    <cellStyle name="Result" xfId="16" xr:uid="{36AE28E8-3783-477E-ACBE-BAE00EAAA640}"/>
    <cellStyle name="Result2" xfId="17" xr:uid="{49A07EA4-EF9F-405F-A4E6-FEC2700AA314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abSelected="1" topLeftCell="A4" zoomScale="75" zoomScaleNormal="75" workbookViewId="0">
      <selection activeCell="D7" sqref="D7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291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449</v>
      </c>
      <c r="E13" s="27" t="s">
        <v>451</v>
      </c>
      <c r="F13" s="28" t="s">
        <v>450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64" t="s">
        <v>438</v>
      </c>
      <c r="D22" s="19"/>
    </row>
    <row r="23" spans="3:6" ht="26">
      <c r="C23" s="64"/>
      <c r="D23" s="20" t="s">
        <v>280</v>
      </c>
    </row>
    <row r="24" spans="3:6" ht="28.5" customHeight="1">
      <c r="C24" s="64"/>
    </row>
    <row r="25" spans="3:6">
      <c r="C25" s="22"/>
    </row>
    <row r="26" spans="3:6">
      <c r="C26" s="64" t="s">
        <v>439</v>
      </c>
    </row>
    <row r="27" spans="3:6">
      <c r="C27" s="64"/>
    </row>
    <row r="28" spans="3:6" ht="23.25" customHeight="1">
      <c r="C28" s="64"/>
    </row>
    <row r="29" spans="3:6">
      <c r="C29" s="22"/>
    </row>
    <row r="30" spans="3:6" ht="12.75" customHeight="1">
      <c r="C30" s="64" t="s">
        <v>440</v>
      </c>
    </row>
    <row r="31" spans="3:6" ht="12.75" customHeight="1">
      <c r="C31" s="64"/>
    </row>
    <row r="32" spans="3:6" ht="21.75" customHeight="1">
      <c r="C32" s="64"/>
    </row>
    <row r="33" spans="3:3" ht="14.25" customHeight="1">
      <c r="C33" s="64"/>
    </row>
    <row r="34" spans="3:3">
      <c r="C34" s="64"/>
    </row>
    <row r="35" spans="3:3">
      <c r="C35" s="64"/>
    </row>
    <row r="37" spans="3:3" ht="12.75" customHeight="1">
      <c r="C37" s="64" t="s">
        <v>448</v>
      </c>
    </row>
    <row r="38" spans="3:3" ht="12.75" customHeight="1">
      <c r="C38" s="64"/>
    </row>
    <row r="39" spans="3:3" ht="19.5" customHeight="1">
      <c r="C39" s="64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100"/>
  <sheetViews>
    <sheetView zoomScale="70" zoomScaleNormal="70" zoomScaleSheetLayoutView="100" workbookViewId="0">
      <selection activeCell="D10" sqref="D10"/>
    </sheetView>
  </sheetViews>
  <sheetFormatPr defaultColWidth="9.1796875" defaultRowHeight="90.75" customHeight="1"/>
  <cols>
    <col min="1" max="1" width="1.81640625" style="29" customWidth="1"/>
    <col min="2" max="3" width="21.54296875" style="30" customWidth="1"/>
    <col min="4" max="4" width="40" style="30" customWidth="1"/>
    <col min="5" max="5" width="25.54296875" style="40" customWidth="1"/>
    <col min="6" max="6" width="13.1796875" style="38" customWidth="1"/>
    <col min="7" max="7" width="14.453125" style="30" customWidth="1"/>
    <col min="8" max="8" width="29.1796875" style="30" customWidth="1"/>
    <col min="9" max="9" width="17.26953125" style="43" customWidth="1"/>
    <col min="10" max="10" width="14.453125" style="30" customWidth="1"/>
    <col min="11" max="11" width="26.7265625" style="43" customWidth="1"/>
    <col min="12" max="12" width="16.81640625" style="30" customWidth="1"/>
    <col min="13" max="13" width="24.81640625" style="30" customWidth="1"/>
    <col min="14" max="14" width="17.7265625" style="30" customWidth="1"/>
    <col min="15" max="15" width="23.7265625" style="30" customWidth="1"/>
    <col min="16" max="16" width="34.81640625" style="29" customWidth="1"/>
    <col min="17" max="16384" width="9.1796875" style="29"/>
  </cols>
  <sheetData>
    <row r="1" spans="2:15" ht="20.149999999999999" customHeight="1">
      <c r="D1" s="31"/>
      <c r="F1" s="39"/>
    </row>
    <row r="2" spans="2:15" ht="20.149999999999999" customHeight="1">
      <c r="B2" s="36" t="s">
        <v>2</v>
      </c>
      <c r="C2" s="32" t="str">
        <f>'Dane podstawowe'!$D$6</f>
        <v>MAZOWIECKIE</v>
      </c>
      <c r="D2" s="33" t="str">
        <f>'Dane podstawowe'!D7</f>
        <v xml:space="preserve">Listopad </v>
      </c>
      <c r="E2" s="41">
        <f>'Dane podstawowe'!D8</f>
        <v>2024</v>
      </c>
      <c r="F2" s="37"/>
      <c r="G2" s="31"/>
      <c r="H2" s="31"/>
      <c r="I2" s="44"/>
    </row>
    <row r="3" spans="2:15" ht="20.149999999999999" customHeight="1">
      <c r="E3" s="42"/>
    </row>
    <row r="4" spans="2:15" ht="20.149999999999999" customHeight="1">
      <c r="B4" s="65" t="s">
        <v>430</v>
      </c>
      <c r="C4" s="65"/>
      <c r="D4" s="66"/>
      <c r="E4" s="42"/>
    </row>
    <row r="5" spans="2:15" ht="20.149999999999999" customHeight="1">
      <c r="B5" s="48"/>
      <c r="C5" s="48"/>
      <c r="D5" s="49"/>
      <c r="E5" s="42"/>
    </row>
    <row r="6" spans="2:15" ht="90.75" customHeight="1">
      <c r="B6" s="67" t="s">
        <v>444</v>
      </c>
      <c r="C6" s="67"/>
      <c r="D6" s="67"/>
      <c r="E6" s="67"/>
      <c r="F6" s="67"/>
      <c r="G6" s="68" t="s">
        <v>446</v>
      </c>
      <c r="H6" s="69"/>
      <c r="I6" s="69"/>
      <c r="J6" s="70"/>
      <c r="K6" s="50" t="s">
        <v>447</v>
      </c>
      <c r="L6" s="67" t="s">
        <v>445</v>
      </c>
      <c r="M6" s="67"/>
      <c r="N6" s="67"/>
      <c r="O6" s="34"/>
    </row>
    <row r="7" spans="2:15" s="46" customFormat="1" ht="90.75" customHeight="1">
      <c r="B7" s="59" t="s">
        <v>1</v>
      </c>
      <c r="C7" s="59" t="s">
        <v>428</v>
      </c>
      <c r="D7" s="59" t="s">
        <v>0</v>
      </c>
      <c r="E7" s="45" t="s">
        <v>454</v>
      </c>
      <c r="F7" s="59" t="s">
        <v>455</v>
      </c>
      <c r="G7" s="59" t="s">
        <v>432</v>
      </c>
      <c r="H7" s="59" t="s">
        <v>435</v>
      </c>
      <c r="I7" s="59" t="s">
        <v>433</v>
      </c>
      <c r="J7" s="59" t="s">
        <v>434</v>
      </c>
      <c r="K7" s="59" t="s">
        <v>431</v>
      </c>
      <c r="L7" s="59" t="s">
        <v>442</v>
      </c>
      <c r="M7" s="59" t="s">
        <v>441</v>
      </c>
      <c r="N7" s="59" t="s">
        <v>443</v>
      </c>
      <c r="O7" s="59" t="s">
        <v>456</v>
      </c>
    </row>
    <row r="8" spans="2:15" ht="44.5" customHeight="1">
      <c r="B8" s="58" t="s">
        <v>88</v>
      </c>
      <c r="C8" s="58" t="s">
        <v>269</v>
      </c>
      <c r="D8" s="51" t="s">
        <v>459</v>
      </c>
      <c r="E8" s="60">
        <v>610001881</v>
      </c>
      <c r="F8" s="61" t="s">
        <v>458</v>
      </c>
      <c r="G8" s="53"/>
      <c r="H8" s="52"/>
      <c r="I8" s="53"/>
      <c r="J8" s="53"/>
      <c r="K8" s="53">
        <v>16</v>
      </c>
      <c r="L8" s="62"/>
      <c r="M8" s="62"/>
      <c r="N8" s="62"/>
      <c r="O8" s="54">
        <v>45387</v>
      </c>
    </row>
    <row r="9" spans="2:15" s="55" customFormat="1" ht="44.5" customHeight="1">
      <c r="B9" s="58" t="s">
        <v>75</v>
      </c>
      <c r="C9" s="58" t="s">
        <v>461</v>
      </c>
      <c r="D9" s="58" t="s">
        <v>462</v>
      </c>
      <c r="E9" s="71">
        <v>14156173000000</v>
      </c>
      <c r="F9" s="58" t="s">
        <v>463</v>
      </c>
      <c r="G9" s="58">
        <v>0</v>
      </c>
      <c r="H9" s="58" t="s">
        <v>464</v>
      </c>
      <c r="I9" s="58">
        <v>0</v>
      </c>
      <c r="J9" s="58" t="s">
        <v>452</v>
      </c>
      <c r="K9" s="58">
        <v>15</v>
      </c>
      <c r="L9" s="58">
        <v>0</v>
      </c>
      <c r="M9" s="56"/>
      <c r="N9" s="58"/>
      <c r="O9" s="57">
        <v>45625</v>
      </c>
    </row>
    <row r="10" spans="2:15" s="30" customFormat="1" ht="44.5" customHeight="1">
      <c r="B10" s="72" t="s">
        <v>91</v>
      </c>
      <c r="C10" s="72" t="s">
        <v>269</v>
      </c>
      <c r="D10" s="87" t="s">
        <v>496</v>
      </c>
      <c r="E10" s="79">
        <v>381483612</v>
      </c>
      <c r="F10" s="78" t="s">
        <v>468</v>
      </c>
      <c r="G10" s="78">
        <v>7</v>
      </c>
      <c r="H10" s="80">
        <v>45626</v>
      </c>
      <c r="I10" s="73">
        <v>0</v>
      </c>
      <c r="J10" s="73" t="s">
        <v>453</v>
      </c>
      <c r="K10" s="73"/>
      <c r="L10" s="73"/>
      <c r="M10" s="73"/>
      <c r="N10" s="73"/>
      <c r="O10" s="74">
        <v>45601</v>
      </c>
    </row>
    <row r="11" spans="2:15" ht="44.5" customHeight="1">
      <c r="B11" s="72" t="s">
        <v>91</v>
      </c>
      <c r="C11" s="72" t="s">
        <v>269</v>
      </c>
      <c r="D11" s="76" t="s">
        <v>497</v>
      </c>
      <c r="E11" s="77">
        <v>380934337</v>
      </c>
      <c r="F11" s="78" t="s">
        <v>469</v>
      </c>
      <c r="G11" s="78">
        <v>32</v>
      </c>
      <c r="H11" s="80" t="s">
        <v>470</v>
      </c>
      <c r="I11" s="73">
        <v>0</v>
      </c>
      <c r="J11" s="73" t="s">
        <v>460</v>
      </c>
      <c r="K11" s="73"/>
      <c r="L11" s="73"/>
      <c r="M11" s="73"/>
      <c r="N11" s="73"/>
      <c r="O11" s="74">
        <v>45610</v>
      </c>
    </row>
    <row r="12" spans="2:15" ht="44.5" customHeight="1">
      <c r="B12" s="72" t="s">
        <v>91</v>
      </c>
      <c r="C12" s="72" t="s">
        <v>269</v>
      </c>
      <c r="D12" s="76" t="s">
        <v>499</v>
      </c>
      <c r="E12" s="77">
        <v>387985639</v>
      </c>
      <c r="F12" s="78" t="s">
        <v>471</v>
      </c>
      <c r="G12" s="78">
        <v>215</v>
      </c>
      <c r="H12" s="80" t="s">
        <v>472</v>
      </c>
      <c r="I12" s="73">
        <v>215</v>
      </c>
      <c r="J12" s="73" t="s">
        <v>460</v>
      </c>
      <c r="K12" s="73"/>
      <c r="L12" s="73"/>
      <c r="M12" s="73"/>
      <c r="N12" s="75"/>
      <c r="O12" s="74">
        <v>45611</v>
      </c>
    </row>
    <row r="13" spans="2:15" s="63" customFormat="1" ht="44.5" customHeight="1">
      <c r="B13" s="72" t="s">
        <v>91</v>
      </c>
      <c r="C13" s="72" t="s">
        <v>269</v>
      </c>
      <c r="D13" s="76" t="s">
        <v>473</v>
      </c>
      <c r="E13" s="77">
        <v>520216329</v>
      </c>
      <c r="F13" s="78" t="s">
        <v>474</v>
      </c>
      <c r="G13" s="78">
        <v>22</v>
      </c>
      <c r="H13" s="80" t="s">
        <v>475</v>
      </c>
      <c r="I13" s="73">
        <v>0</v>
      </c>
      <c r="J13" s="73" t="s">
        <v>452</v>
      </c>
      <c r="K13" s="73"/>
      <c r="L13" s="73">
        <v>22</v>
      </c>
      <c r="M13" s="86" t="s">
        <v>476</v>
      </c>
      <c r="N13" s="75" t="s">
        <v>475</v>
      </c>
      <c r="O13" s="74">
        <v>45622</v>
      </c>
    </row>
    <row r="14" spans="2:15" ht="44.5" customHeight="1">
      <c r="B14" s="72" t="s">
        <v>91</v>
      </c>
      <c r="C14" s="72" t="s">
        <v>269</v>
      </c>
      <c r="D14" s="76" t="s">
        <v>477</v>
      </c>
      <c r="E14" s="77">
        <v>520747601</v>
      </c>
      <c r="F14" s="78" t="s">
        <v>465</v>
      </c>
      <c r="G14" s="78">
        <v>31</v>
      </c>
      <c r="H14" s="80" t="s">
        <v>478</v>
      </c>
      <c r="I14" s="73">
        <v>0</v>
      </c>
      <c r="J14" s="73" t="s">
        <v>452</v>
      </c>
      <c r="K14" s="73"/>
      <c r="L14" s="73"/>
      <c r="M14" s="86"/>
      <c r="N14" s="75"/>
      <c r="O14" s="74">
        <v>45624</v>
      </c>
    </row>
    <row r="15" spans="2:15" ht="44.5" customHeight="1">
      <c r="B15" s="72" t="s">
        <v>91</v>
      </c>
      <c r="C15" s="72" t="s">
        <v>269</v>
      </c>
      <c r="D15" s="87" t="s">
        <v>498</v>
      </c>
      <c r="E15" s="73">
        <v>140225259</v>
      </c>
      <c r="F15" s="73" t="s">
        <v>457</v>
      </c>
      <c r="G15" s="73">
        <v>0</v>
      </c>
      <c r="H15" s="73">
        <v>0</v>
      </c>
      <c r="I15" s="73">
        <v>0</v>
      </c>
      <c r="J15" s="73">
        <v>0</v>
      </c>
      <c r="K15" s="73">
        <v>6</v>
      </c>
      <c r="L15" s="73">
        <v>0</v>
      </c>
      <c r="M15" s="73">
        <v>0</v>
      </c>
      <c r="N15" s="73">
        <v>0</v>
      </c>
      <c r="O15" s="74">
        <v>45616</v>
      </c>
    </row>
    <row r="16" spans="2:15" ht="44.5" customHeight="1">
      <c r="B16" s="72" t="s">
        <v>91</v>
      </c>
      <c r="C16" s="72" t="s">
        <v>269</v>
      </c>
      <c r="D16" s="85" t="s">
        <v>479</v>
      </c>
      <c r="E16" s="81">
        <v>388128759</v>
      </c>
      <c r="F16" s="81" t="s">
        <v>480</v>
      </c>
      <c r="G16" s="81">
        <v>0</v>
      </c>
      <c r="H16" s="81">
        <v>0</v>
      </c>
      <c r="I16" s="73">
        <v>0</v>
      </c>
      <c r="J16" s="73">
        <v>0</v>
      </c>
      <c r="K16" s="81">
        <v>24</v>
      </c>
      <c r="L16" s="73">
        <v>0</v>
      </c>
      <c r="M16" s="73">
        <v>0</v>
      </c>
      <c r="N16" s="73">
        <v>0</v>
      </c>
      <c r="O16" s="74">
        <v>45622</v>
      </c>
    </row>
    <row r="17" spans="2:16" ht="44.5" customHeight="1">
      <c r="B17" s="72" t="s">
        <v>91</v>
      </c>
      <c r="C17" s="72" t="s">
        <v>269</v>
      </c>
      <c r="D17" s="85" t="s">
        <v>467</v>
      </c>
      <c r="E17" s="73">
        <v>367280630</v>
      </c>
      <c r="F17" s="73" t="s">
        <v>457</v>
      </c>
      <c r="G17" s="81">
        <v>0</v>
      </c>
      <c r="H17" s="81">
        <v>0</v>
      </c>
      <c r="I17" s="73">
        <v>0</v>
      </c>
      <c r="J17" s="73">
        <v>0</v>
      </c>
      <c r="K17" s="73">
        <v>21</v>
      </c>
      <c r="L17" s="73">
        <v>0</v>
      </c>
      <c r="M17" s="73">
        <v>0</v>
      </c>
      <c r="N17" s="73">
        <v>0</v>
      </c>
      <c r="O17" s="74">
        <v>45622</v>
      </c>
    </row>
    <row r="18" spans="2:16" ht="44.5" customHeight="1">
      <c r="B18" s="72" t="s">
        <v>91</v>
      </c>
      <c r="C18" s="72" t="s">
        <v>269</v>
      </c>
      <c r="D18" s="85" t="s">
        <v>481</v>
      </c>
      <c r="E18" s="82">
        <v>27758636000663</v>
      </c>
      <c r="F18" s="81" t="s">
        <v>482</v>
      </c>
      <c r="G18" s="81">
        <v>0</v>
      </c>
      <c r="H18" s="81">
        <v>0</v>
      </c>
      <c r="I18" s="73">
        <v>0</v>
      </c>
      <c r="J18" s="73">
        <v>0</v>
      </c>
      <c r="K18" s="81">
        <v>489</v>
      </c>
      <c r="L18" s="73">
        <v>0</v>
      </c>
      <c r="M18" s="73">
        <v>0</v>
      </c>
      <c r="N18" s="73">
        <v>0</v>
      </c>
      <c r="O18" s="74">
        <v>45621</v>
      </c>
    </row>
    <row r="19" spans="2:16" ht="44.5" customHeight="1">
      <c r="B19" s="72" t="s">
        <v>91</v>
      </c>
      <c r="C19" s="72" t="s">
        <v>269</v>
      </c>
      <c r="D19" s="85" t="s">
        <v>479</v>
      </c>
      <c r="E19" s="81">
        <v>388128759</v>
      </c>
      <c r="F19" s="81" t="s">
        <v>480</v>
      </c>
      <c r="G19" s="81">
        <v>0</v>
      </c>
      <c r="H19" s="81">
        <v>0</v>
      </c>
      <c r="I19" s="73">
        <v>0</v>
      </c>
      <c r="J19" s="73">
        <v>0</v>
      </c>
      <c r="K19" s="81">
        <v>52</v>
      </c>
      <c r="L19" s="73">
        <v>0</v>
      </c>
      <c r="M19" s="73">
        <v>0</v>
      </c>
      <c r="N19" s="73">
        <v>0</v>
      </c>
      <c r="O19" s="74">
        <v>45622</v>
      </c>
    </row>
    <row r="20" spans="2:16" ht="44.5" customHeight="1">
      <c r="B20" s="72" t="s">
        <v>91</v>
      </c>
      <c r="C20" s="72" t="s">
        <v>269</v>
      </c>
      <c r="D20" s="85" t="s">
        <v>483</v>
      </c>
      <c r="E20" s="83">
        <v>70569406</v>
      </c>
      <c r="F20" s="73" t="s">
        <v>484</v>
      </c>
      <c r="G20" s="73">
        <v>0</v>
      </c>
      <c r="H20" s="73">
        <v>0</v>
      </c>
      <c r="I20" s="73">
        <v>0</v>
      </c>
      <c r="J20" s="73">
        <v>0</v>
      </c>
      <c r="K20" s="73">
        <v>58</v>
      </c>
      <c r="L20" s="73">
        <v>0</v>
      </c>
      <c r="M20" s="73">
        <v>0</v>
      </c>
      <c r="N20" s="73">
        <v>0</v>
      </c>
      <c r="O20" s="74">
        <v>45622</v>
      </c>
    </row>
    <row r="21" spans="2:16" ht="44.5" customHeight="1">
      <c r="B21" s="72" t="s">
        <v>91</v>
      </c>
      <c r="C21" s="72" t="s">
        <v>269</v>
      </c>
      <c r="D21" s="85" t="s">
        <v>485</v>
      </c>
      <c r="E21" s="83">
        <v>931907038</v>
      </c>
      <c r="F21" s="73" t="s">
        <v>486</v>
      </c>
      <c r="G21" s="73">
        <v>0</v>
      </c>
      <c r="H21" s="73">
        <v>0</v>
      </c>
      <c r="I21" s="73">
        <v>0</v>
      </c>
      <c r="J21" s="73">
        <v>0</v>
      </c>
      <c r="K21" s="73">
        <v>16</v>
      </c>
      <c r="L21" s="73">
        <v>0</v>
      </c>
      <c r="M21" s="73">
        <v>0</v>
      </c>
      <c r="N21" s="73">
        <v>0</v>
      </c>
      <c r="O21" s="74">
        <v>45622</v>
      </c>
    </row>
    <row r="22" spans="2:16" ht="44.5" customHeight="1">
      <c r="B22" s="72" t="s">
        <v>91</v>
      </c>
      <c r="C22" s="72" t="s">
        <v>269</v>
      </c>
      <c r="D22" s="85" t="s">
        <v>487</v>
      </c>
      <c r="E22" s="73">
        <v>320624715</v>
      </c>
      <c r="F22" s="73" t="s">
        <v>488</v>
      </c>
      <c r="G22" s="73">
        <v>0</v>
      </c>
      <c r="H22" s="73">
        <v>0</v>
      </c>
      <c r="I22" s="73">
        <v>0</v>
      </c>
      <c r="J22" s="73">
        <v>0</v>
      </c>
      <c r="K22" s="73">
        <v>11</v>
      </c>
      <c r="L22" s="73">
        <v>0</v>
      </c>
      <c r="M22" s="73">
        <v>0</v>
      </c>
      <c r="N22" s="73">
        <v>0</v>
      </c>
      <c r="O22" s="74">
        <v>45622</v>
      </c>
    </row>
    <row r="23" spans="2:16" ht="44.5" customHeight="1">
      <c r="B23" s="72" t="s">
        <v>91</v>
      </c>
      <c r="C23" s="72" t="s">
        <v>269</v>
      </c>
      <c r="D23" s="85" t="s">
        <v>489</v>
      </c>
      <c r="E23" s="81">
        <v>12890013</v>
      </c>
      <c r="F23" s="81" t="s">
        <v>490</v>
      </c>
      <c r="G23" s="81">
        <v>0</v>
      </c>
      <c r="H23" s="81">
        <v>0</v>
      </c>
      <c r="I23" s="73">
        <v>0</v>
      </c>
      <c r="J23" s="73">
        <v>0</v>
      </c>
      <c r="K23" s="81">
        <v>1</v>
      </c>
      <c r="L23" s="73">
        <v>0</v>
      </c>
      <c r="M23" s="73">
        <v>0</v>
      </c>
      <c r="N23" s="73">
        <v>0</v>
      </c>
      <c r="O23" s="74">
        <v>45622</v>
      </c>
    </row>
    <row r="24" spans="2:16" ht="44.5" customHeight="1">
      <c r="B24" s="72" t="s">
        <v>91</v>
      </c>
      <c r="C24" s="72" t="s">
        <v>269</v>
      </c>
      <c r="D24" s="76" t="s">
        <v>491</v>
      </c>
      <c r="E24" s="81">
        <v>520216329</v>
      </c>
      <c r="F24" s="81" t="s">
        <v>474</v>
      </c>
      <c r="G24" s="81">
        <v>0</v>
      </c>
      <c r="H24" s="81">
        <v>0</v>
      </c>
      <c r="I24" s="73">
        <v>0</v>
      </c>
      <c r="J24" s="73">
        <v>0</v>
      </c>
      <c r="K24" s="81">
        <v>9</v>
      </c>
      <c r="L24" s="73">
        <v>0</v>
      </c>
      <c r="M24" s="73">
        <v>0</v>
      </c>
      <c r="N24" s="73">
        <v>0</v>
      </c>
      <c r="O24" s="74">
        <v>45622</v>
      </c>
    </row>
    <row r="25" spans="2:16" ht="44.5" customHeight="1">
      <c r="B25" s="72" t="s">
        <v>91</v>
      </c>
      <c r="C25" s="72" t="s">
        <v>269</v>
      </c>
      <c r="D25" s="84" t="s">
        <v>492</v>
      </c>
      <c r="E25" s="73">
        <v>140566233</v>
      </c>
      <c r="F25" s="73" t="s">
        <v>493</v>
      </c>
      <c r="G25" s="73">
        <v>0</v>
      </c>
      <c r="H25" s="73">
        <v>0</v>
      </c>
      <c r="I25" s="73">
        <v>0</v>
      </c>
      <c r="J25" s="73">
        <v>0</v>
      </c>
      <c r="K25" s="73">
        <v>2</v>
      </c>
      <c r="L25" s="73">
        <v>0</v>
      </c>
      <c r="M25" s="73">
        <v>0</v>
      </c>
      <c r="N25" s="73">
        <v>0</v>
      </c>
      <c r="O25" s="74">
        <v>45621</v>
      </c>
    </row>
    <row r="26" spans="2:16" ht="44.5" customHeight="1">
      <c r="B26" s="72" t="s">
        <v>91</v>
      </c>
      <c r="C26" s="72" t="s">
        <v>269</v>
      </c>
      <c r="D26" s="84" t="s">
        <v>494</v>
      </c>
      <c r="E26" s="73">
        <v>10778878</v>
      </c>
      <c r="F26" s="73" t="s">
        <v>466</v>
      </c>
      <c r="G26" s="73">
        <v>0</v>
      </c>
      <c r="H26" s="73">
        <v>0</v>
      </c>
      <c r="I26" s="73">
        <v>0</v>
      </c>
      <c r="J26" s="73">
        <v>0</v>
      </c>
      <c r="K26" s="73">
        <v>45</v>
      </c>
      <c r="L26" s="73">
        <v>0</v>
      </c>
      <c r="M26" s="73">
        <v>0</v>
      </c>
      <c r="N26" s="73">
        <v>0</v>
      </c>
      <c r="O26" s="74">
        <v>45625</v>
      </c>
      <c r="P26" s="35"/>
    </row>
    <row r="27" spans="2:16" ht="44.5" customHeight="1">
      <c r="B27" s="72" t="s">
        <v>91</v>
      </c>
      <c r="C27" s="72" t="s">
        <v>269</v>
      </c>
      <c r="D27" s="84" t="s">
        <v>495</v>
      </c>
      <c r="E27" s="73">
        <v>277586360</v>
      </c>
      <c r="F27" s="73" t="s">
        <v>482</v>
      </c>
      <c r="G27" s="73">
        <v>0</v>
      </c>
      <c r="H27" s="73">
        <v>0</v>
      </c>
      <c r="I27" s="73">
        <v>0</v>
      </c>
      <c r="J27" s="73">
        <v>0</v>
      </c>
      <c r="K27" s="73">
        <v>173</v>
      </c>
      <c r="L27" s="73">
        <v>0</v>
      </c>
      <c r="M27" s="73">
        <v>0</v>
      </c>
      <c r="N27" s="73">
        <v>0</v>
      </c>
      <c r="O27" s="74">
        <v>45625</v>
      </c>
      <c r="P27" s="35"/>
    </row>
    <row r="28" spans="2:16" ht="32.5" customHeight="1">
      <c r="G28" s="47">
        <f>SUM(G8:G27)</f>
        <v>307</v>
      </c>
      <c r="H28" s="47"/>
      <c r="I28" s="47">
        <f>SUM(I8:I27)</f>
        <v>215</v>
      </c>
      <c r="J28" s="47"/>
      <c r="K28" s="47">
        <f>SUM(K8:K27)</f>
        <v>938</v>
      </c>
      <c r="L28" s="47">
        <f>SUM(L8:L27)</f>
        <v>22</v>
      </c>
      <c r="M28" s="38"/>
      <c r="N28" s="38"/>
      <c r="O28" s="38"/>
    </row>
    <row r="29" spans="2:16" ht="12.5"/>
    <row r="30" spans="2:16" ht="12.5"/>
    <row r="31" spans="2:16" ht="12.5"/>
    <row r="32" spans="2:16" ht="12.5"/>
    <row r="33" ht="12.5"/>
    <row r="34" ht="12.5"/>
    <row r="35" ht="12.5"/>
    <row r="36" ht="12.5"/>
    <row r="37" ht="12.5"/>
    <row r="38" ht="12.5"/>
    <row r="39" ht="12.5"/>
    <row r="40" ht="12.5"/>
    <row r="41" ht="12.5"/>
    <row r="42" ht="12.5"/>
    <row r="43" ht="12.5"/>
    <row r="44" ht="12.5"/>
    <row r="45" ht="12.5"/>
    <row r="46" ht="12.5"/>
    <row r="47" ht="12.5"/>
    <row r="48" ht="12.5"/>
    <row r="49" ht="12.5"/>
    <row r="50" ht="12.5"/>
    <row r="51" ht="12.5"/>
    <row r="52" ht="12.5"/>
    <row r="53" ht="12.5"/>
    <row r="54" ht="12.5"/>
    <row r="55" ht="12.5"/>
    <row r="56" ht="12.5"/>
    <row r="57" ht="12.5"/>
    <row r="58" ht="12.5"/>
    <row r="59" ht="12.5"/>
    <row r="60" ht="12.5"/>
    <row r="61" ht="12.5"/>
    <row r="62" ht="12.5"/>
    <row r="63" ht="12.5"/>
    <row r="64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2024-12-04T13:39:55Z</dcterms:modified>
</cp:coreProperties>
</file>
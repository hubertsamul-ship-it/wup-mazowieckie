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dane!$A$1:$O$29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E2" i="5" l="1"/>
  <c r="D2" i="5"/>
  <c r="C2" i="5" l="1"/>
</calcChain>
</file>

<file path=xl/comments1.xml><?xml version="1.0" encoding="utf-8"?>
<comments xmlns="http://schemas.openxmlformats.org/spreadsheetml/2006/main">
  <authors>
    <author>Magdalena Fic</author>
  </authors>
  <commentList>
    <comment ref="K19" authorId="0" shapeId="0">
      <text>
        <r>
          <rPr>
            <sz val="9"/>
            <color indexed="81"/>
            <rFont val="Tahoma"/>
            <family val="2"/>
            <charset val="238"/>
          </rPr>
          <t xml:space="preserve">Magdalena Fic: Dane dotyczące liczby zwolnionych pracowników w Santander Bank Polsk S.A.   dotyczą okresu od stycznia 2021 r. do grudnia 2021 r. 
 W dniu 01.02.2022 r.  otrzymałam informację o liczbie rozwiązanych umów o pracę za cały okres.    </t>
        </r>
        <r>
          <rPr>
            <b/>
            <sz val="9"/>
            <color indexed="81"/>
            <rFont val="Tahoma"/>
            <family val="2"/>
            <charset val="238"/>
          </rPr>
          <t xml:space="preserve">   </t>
        </r>
        <r>
          <rPr>
            <sz val="9"/>
            <color indexed="81"/>
            <rFont val="Tahoma"/>
            <family val="2"/>
            <charset val="238"/>
          </rPr>
          <t xml:space="preserve">
 </t>
        </r>
      </text>
    </comment>
    <comment ref="K20" authorId="0" shapeId="0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Dane dotyczące liczby zwolnionych pracowników w Polskich  Liniach Lotniczych LOT SA  dotyczą okresu  od stycznia 2021 r. do lisrtopada 2021 r. 
 W dniu 05.01.2022 r.  otrzymałam informację o liczbie rozwiązanych umów o pracę za cały okres.          </t>
        </r>
      </text>
    </comment>
    <comment ref="K25" authorId="0" shapeId="0">
      <text>
        <r>
          <rPr>
            <sz val="9"/>
            <color indexed="81"/>
            <rFont val="Tahoma"/>
            <family val="2"/>
            <charset val="238"/>
          </rPr>
          <t xml:space="preserve">Magdalena Fic:Dane dotyczące liczby zwolnionych pracowników w Orange Polsa  SA  dotyczą okresu  od stycznia 2021 r.           do grudnia 2021 r.  
W dniu 31.01.2022 r.  otrzymałam informację o liczbie rozwiązanych umów o pracę za cały okres. 
 </t>
        </r>
      </text>
    </comment>
  </commentList>
</comments>
</file>

<file path=xl/sharedStrings.xml><?xml version="1.0" encoding="utf-8"?>
<sst xmlns="http://schemas.openxmlformats.org/spreadsheetml/2006/main" count="579" uniqueCount="517">
  <si>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</si>
  <si>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</si>
  <si>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</si>
  <si>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</si>
  <si>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</si>
  <si>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</si>
  <si>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</si>
  <si>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</si>
  <si>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</si>
  <si>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</si>
  <si>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</si>
  <si>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</si>
  <si>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</si>
  <si>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</si>
  <si>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</si>
  <si>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</si>
  <si>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</si>
  <si>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</si>
  <si>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</si>
  <si>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</si>
  <si>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</si>
  <si>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</si>
  <si>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</si>
  <si>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</si>
  <si>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</si>
  <si>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</si>
  <si>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</si>
  <si>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</si>
  <si>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</si>
  <si>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</si>
  <si>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</si>
  <si>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</si>
  <si>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</si>
  <si>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</si>
  <si>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</si>
  <si>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</si>
  <si>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</si>
  <si>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</si>
  <si>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</si>
  <si>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</si>
  <si>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</si>
  <si>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</si>
  <si>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</si>
  <si>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</si>
  <si>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</si>
  <si>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</si>
  <si>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</si>
  <si>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</si>
  <si>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</si>
  <si>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</si>
  <si>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</si>
  <si>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</si>
  <si>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</si>
  <si>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</si>
  <si>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</si>
  <si>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</si>
  <si>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</si>
  <si>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</si>
  <si>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</si>
  <si>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</si>
  <si>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</si>
  <si>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</si>
  <si>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</si>
  <si>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</si>
  <si>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</si>
  <si>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</si>
  <si>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</si>
  <si>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</si>
  <si>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</si>
  <si>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</si>
  <si>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</si>
  <si>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</si>
  <si>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</si>
  <si>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</si>
  <si>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</si>
  <si>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</si>
  <si>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</si>
  <si>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</si>
  <si>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</si>
  <si>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</si>
  <si>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</si>
  <si>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</si>
  <si>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</si>
  <si>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</si>
  <si>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</si>
  <si>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</si>
  <si>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</si>
  <si>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</si>
  <si>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</si>
  <si>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</si>
  <si>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</si>
  <si>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</si>
  <si>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</si>
  <si>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</si>
  <si>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</si>
  <si>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</si>
  <si>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</si>
  <si>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</si>
  <si>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</si>
  <si>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</si>
  <si>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</si>
  <si>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</si>
  <si>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</si>
  <si>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</si>
  <si>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</si>
  <si>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</si>
  <si>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</si>
  <si>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</si>
  <si>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</si>
  <si>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</si>
  <si>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</si>
  <si>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</si>
  <si>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</si>
  <si>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</si>
  <si>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</si>
  <si>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</si>
  <si>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</si>
  <si>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</si>
  <si>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</si>
  <si>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</si>
  <si>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</si>
  <si>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</si>
  <si>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</si>
  <si>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</si>
  <si>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</si>
  <si>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</si>
  <si>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</si>
  <si>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</si>
  <si>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</si>
  <si>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</si>
  <si>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</si>
  <si>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</si>
  <si>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</si>
  <si>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</si>
  <si>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</si>
  <si>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</si>
  <si>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</si>
  <si>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</si>
  <si>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</si>
  <si>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</si>
  <si>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</si>
  <si>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</si>
  <si>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</si>
  <si>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</si>
  <si>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</si>
  <si>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</si>
  <si>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</si>
  <si>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</si>
  <si>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</si>
  <si>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</si>
  <si>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</si>
  <si>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</si>
  <si>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</si>
  <si>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</si>
  <si>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</si>
  <si>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</si>
  <si>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</si>
  <si>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</si>
  <si>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</si>
  <si>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</si>
  <si>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</si>
  <si>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</si>
  <si>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</si>
  <si>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</si>
  <si>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</si>
  <si>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</si>
  <si>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</si>
  <si>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</si>
  <si>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</si>
  <si>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</si>
  <si>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</si>
  <si>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</si>
  <si>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</si>
  <si>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</si>
  <si>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</si>
  <si>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</si>
  <si>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</si>
  <si>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</si>
  <si>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</si>
  <si>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</si>
  <si>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</si>
  <si>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</si>
  <si>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</si>
  <si>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</si>
  <si>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</si>
  <si>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</si>
  <si>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</si>
  <si>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</si>
  <si>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</si>
  <si>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</si>
  <si>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</si>
  <si>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</si>
  <si>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</si>
  <si>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</si>
  <si>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</si>
  <si>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</si>
  <si>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</si>
  <si>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</si>
  <si>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</si>
  <si>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</si>
  <si>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</si>
  <si>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</si>
  <si>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</si>
  <si>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</si>
  <si>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</si>
  <si>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</si>
  <si>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</si>
  <si>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</si>
  <si>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</si>
  <si>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</si>
  <si>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</si>
  <si>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</si>
  <si>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</si>
  <si>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</si>
  <si>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</si>
  <si>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</si>
  <si>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</si>
  <si>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</si>
  <si>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</si>
  <si>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</si>
  <si>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</si>
  <si>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</si>
  <si>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</si>
  <si>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</si>
  <si>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</si>
  <si>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</si>
  <si>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</si>
  <si>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</si>
  <si>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</si>
  <si>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</si>
  <si>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</si>
  <si>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</si>
  <si>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</si>
  <si>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</si>
  <si>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</si>
  <si>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</si>
  <si>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</si>
  <si>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</si>
  <si>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</si>
  <si>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</si>
  <si>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</si>
  <si>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</si>
  <si>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</si>
  <si>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</si>
  <si>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</si>
  <si>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</si>
  <si>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</si>
  <si>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</si>
  <si>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</si>
  <si>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</si>
  <si>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</si>
  <si>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</si>
  <si>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</si>
  <si>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</si>
  <si>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</si>
  <si>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</si>
  <si>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</si>
  <si>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</si>
  <si>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</si>
  <si>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</si>
  <si>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</si>
  <si>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</si>
  <si>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</si>
  <si>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</si>
  <si>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</si>
  <si>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</si>
  <si>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</si>
  <si>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</si>
  <si>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</si>
  <si>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</si>
  <si>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</si>
  <si>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</si>
  <si>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</si>
  <si>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</si>
  <si>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</si>
  <si>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</si>
  <si>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</si>
  <si>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</si>
  <si>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</si>
  <si>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</si>
  <si>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</si>
  <si>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</si>
  <si>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</si>
  <si>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</si>
  <si>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</si>
  <si>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</si>
  <si>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</si>
  <si>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</si>
  <si>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</si>
  <si>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</si>
  <si>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</si>
  <si>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</si>
  <si>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</si>
  <si>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</si>
  <si>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</si>
  <si>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</si>
  <si>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</si>
  <si>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</si>
  <si>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</si>
  <si>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</si>
  <si>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</si>
  <si>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</si>
  <si>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</si>
  <si>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</si>
  <si>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</si>
  <si>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</si>
  <si>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</si>
  <si>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</si>
  <si>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</si>
  <si>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</si>
  <si>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</si>
  <si>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</si>
  <si>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</si>
  <si>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</si>
  <si>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</si>
  <si>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</si>
  <si>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</si>
  <si>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</si>
  <si>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</si>
  <si>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</si>
  <si>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</si>
  <si>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</si>
  <si>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</si>
  <si>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</si>
  <si>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</si>
  <si>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</si>
  <si>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</si>
  <si>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</si>
  <si>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</si>
  <si>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</si>
  <si>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</si>
  <si>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</si>
  <si>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</si>
  <si>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</si>
  <si>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</si>
  <si>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</si>
  <si>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</si>
  <si>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</si>
  <si>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</si>
  <si>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</si>
  <si>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</si>
  <si>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</si>
  <si>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</si>
  <si>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</si>
  <si>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</si>
  <si>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</si>
  <si>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</si>
  <si>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</si>
  <si>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</si>
  <si>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</si>
  <si>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</si>
  <si>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</si>
  <si>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</si>
  <si>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</si>
  <si>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</si>
  <si>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</si>
  <si>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</si>
  <si>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</si>
  <si>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</si>
  <si>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</si>
  <si>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</si>
  <si>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</si>
  <si>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</si>
  <si>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</si>
  <si>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</si>
  <si>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</si>
  <si>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</si>
  <si>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</si>
  <si>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</si>
  <si>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</si>
  <si>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</si>
  <si>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</si>
  <si>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</si>
  <si>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</si>
  <si>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</si>
  <si>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</si>
  <si>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</si>
  <si>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</si>
  <si>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</si>
  <si>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</si>
  <si>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</si>
  <si>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</si>
  <si>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</si>
  <si>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</si>
  <si>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</si>
  <si>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</si>
  <si>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</si>
  <si>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</si>
  <si>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</si>
  <si>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</si>
  <si>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</si>
  <si>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</si>
  <si>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</si>
  <si>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</si>
  <si>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</si>
  <si>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</si>
  <si>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</si>
  <si>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</si>
  <si>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</si>
  <si>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</si>
  <si>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</si>
  <si>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</si>
  <si>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</si>
  <si>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</si>
  <si>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</si>
  <si>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</si>
  <si>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</si>
  <si>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</si>
  <si>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</si>
  <si>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</si>
  <si>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</si>
  <si>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</si>
  <si>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</si>
  <si>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</si>
  <si>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</si>
  <si>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</si>
  <si>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</si>
  <si>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</si>
  <si>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</si>
  <si>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</si>
  <si>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</si>
  <si>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</si>
  <si>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</si>
  <si>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</si>
  <si>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</si>
  <si>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</si>
  <si>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</si>
  <si>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</si>
  <si>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</si>
  <si>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</si>
  <si>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</si>
  <si>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</si>
  <si>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</si>
  <si>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</si>
  <si>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</si>
  <si>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</si>
  <si>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</si>
  <si>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</si>
  <si>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</si>
  <si>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</si>
  <si>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</si>
  <si>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</si>
  <si>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</si>
  <si>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</si>
  <si>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</si>
  <si>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</si>
  <si>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</si>
  <si>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</si>
  <si>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</si>
  <si>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</si>
  <si>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</si>
  <si>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</si>
  <si>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6419Z</t>
  </si>
  <si>
    <t>Hubert Samul</t>
  </si>
  <si>
    <t>h.samul@wup.mazowsze.pl</t>
  </si>
  <si>
    <t>nie</t>
  </si>
  <si>
    <t xml:space="preserve">BNP Paribas Bank Polska S.A.                  ul. M. Kasprzaka  10/16                           01-211 Warszawa </t>
  </si>
  <si>
    <t>4771Z</t>
  </si>
  <si>
    <t>012100784</t>
  </si>
  <si>
    <t>6110Z</t>
  </si>
  <si>
    <t>48 22 578 44 17</t>
  </si>
  <si>
    <t>tak</t>
  </si>
  <si>
    <t>DNB Bank Polska S.A.                                                ul.Postępu 15C                                                              02-676 Warszawa</t>
  </si>
  <si>
    <t>017296065</t>
  </si>
  <si>
    <t>AMABUD Nieruchomości Sp. z o.o. Sp.k.</t>
  </si>
  <si>
    <t>4120Z</t>
  </si>
  <si>
    <t>31.12.2022-31.03.2023</t>
  </si>
  <si>
    <t>22-11-2022</t>
  </si>
  <si>
    <t>SHPL  Sp. z o.o.                                         ul.Rondo Ignacego Daszyńskiego 1                                   00-843 Warszawa</t>
  </si>
  <si>
    <t>389450687</t>
  </si>
  <si>
    <t>4791Z</t>
  </si>
  <si>
    <t>01- 03.2023</t>
  </si>
  <si>
    <t>Pracodawca realizować będzie  usługę outplacemtu we współpracy z Urzędem Pracy    m.st. Warszawy.                  W ramach pomocy zwalniani pracownicy będą mogli skorzystać                  z punktów konsultacyjych                        i wykładów z zakresu poradnictwa zawodowego</t>
  </si>
  <si>
    <t>Innotec International Sp. z o.o.                                  ul.Towarowa 28                                   00-839 Warszawa</t>
  </si>
  <si>
    <t>361651427</t>
  </si>
  <si>
    <t>7320Z</t>
  </si>
  <si>
    <t>01- 04.2023</t>
  </si>
  <si>
    <t xml:space="preserve">Carrefour Polska Sp.  z o.o                                ul. Targowa 72                                                           03-734 Warszawa </t>
  </si>
  <si>
    <t>070569406</t>
  </si>
  <si>
    <t>4711Z</t>
  </si>
  <si>
    <t>Booksy International  Sp.  z o.o.                                      ul. Prosta 67 p. 28                                        00-838 Warszawa</t>
  </si>
  <si>
    <t>147315920</t>
  </si>
  <si>
    <t>6399Z</t>
  </si>
  <si>
    <t>Costa Coffee Polska Spółka Akcyjna                 ul. Chłodna  nr 52                                               00-872 Warszawa</t>
  </si>
  <si>
    <t>016202033</t>
  </si>
  <si>
    <t>5610A</t>
  </si>
  <si>
    <t>Go Sport Polska Sp. z o.o.                                       ul. Krakowiaków 48                                             02-255 Warszawa</t>
  </si>
  <si>
    <t>013125125</t>
  </si>
  <si>
    <t>SHPL Sp. z o.o.                                         ul. Towarowa 28                                            00-839 Warszawa</t>
  </si>
  <si>
    <t xml:space="preserve">Agora S.A.                                                            ul. Czerska 8/10                                            00-732 Warszawa </t>
  </si>
  <si>
    <t>011559486</t>
  </si>
  <si>
    <t>5813Z</t>
  </si>
  <si>
    <t>Henkel Polska Sp. z o.o.                                                                                 ul. Domaniewska 41                                                                                                        02-672 Warszawa</t>
  </si>
  <si>
    <t>362077261</t>
  </si>
  <si>
    <t>4675Z</t>
  </si>
  <si>
    <t xml:space="preserve">Stalgast Sp. z o.o.                                         Plac Konesra 9 Bud. 0                                    03-736 Warszawa </t>
  </si>
  <si>
    <t xml:space="preserve">  017223787</t>
  </si>
  <si>
    <t>4690Z</t>
  </si>
  <si>
    <t>DHL Parcel Polska Sp. z o.o.                                      ul. Osmańska 2                                              02-823 Warszawa</t>
  </si>
  <si>
    <t>365170883</t>
  </si>
  <si>
    <t>4941Z</t>
  </si>
  <si>
    <t>Faberlic Europe Sp. z o.o.                                      ul. Przeskok 2                                              00-032 Warszawa</t>
  </si>
  <si>
    <t>4799Z</t>
  </si>
  <si>
    <t>Orange Polska S.A.                                        Al. Jerozolimskie 160                                       02-326 Warszawa</t>
  </si>
  <si>
    <t xml:space="preserve">DHL Exel Supply Chain                      (Poland) Sp. zo.o.                                        ul. Komietetu Obrony Robotników 45D                                                                 02-146 Warszawa </t>
  </si>
  <si>
    <t>5210B</t>
  </si>
  <si>
    <t>Oney Polska S.A.                                                      ul.Ogrodowa 58                                                 00-876 Warszawa</t>
  </si>
  <si>
    <t>015707452</t>
  </si>
  <si>
    <t>6499Z</t>
  </si>
  <si>
    <t xml:space="preserve">Regalix Poland Sp. z o.o.                               ul. Złota 59                                                               00-120 Warszawa </t>
  </si>
  <si>
    <t xml:space="preserve">  369261453</t>
  </si>
  <si>
    <t>7022Z</t>
  </si>
  <si>
    <t xml:space="preserve">Packhelp S.A.                                                                    ul. Kolejowa nr 5/7                                           01-217 Warszawa </t>
  </si>
  <si>
    <t>362932312</t>
  </si>
  <si>
    <t>1721Z</t>
  </si>
  <si>
    <t xml:space="preserve">Burda Media Polska Sp. z o.o.                                          ul. Marynarska 15                                         02-674 Warszawa </t>
  </si>
  <si>
    <t>6311Z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</si>
</sst>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20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</cellStyleXfs>
  <cellXfs count="79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5">
    <cellStyle name="Excel Built-in Normal" xfId="4"/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E8" sqref="E8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281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453</v>
      </c>
      <c r="E13" s="27" t="s">
        <v>454</v>
      </c>
      <c r="F13" s="28" t="s">
        <v>460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72" t="s">
        <v>438</v>
      </c>
      <c r="D22" s="19"/>
    </row>
    <row r="23" spans="3:6" ht="26.25">
      <c r="C23" s="72"/>
      <c r="D23" s="20" t="s">
        <v>280</v>
      </c>
    </row>
    <row r="24" spans="3:6" ht="28.5" customHeight="1">
      <c r="C24" s="72"/>
    </row>
    <row r="25" spans="3:6">
      <c r="C25" s="22"/>
    </row>
    <row r="26" spans="3:6">
      <c r="C26" s="72" t="s">
        <v>439</v>
      </c>
    </row>
    <row r="27" spans="3:6">
      <c r="C27" s="72"/>
    </row>
    <row r="28" spans="3:6" ht="23.25" customHeight="1">
      <c r="C28" s="72"/>
    </row>
    <row r="29" spans="3:6">
      <c r="C29" s="22"/>
    </row>
    <row r="30" spans="3:6" ht="12.75" customHeight="1">
      <c r="C30" s="72" t="s">
        <v>440</v>
      </c>
    </row>
    <row r="31" spans="3:6" ht="12.75" customHeight="1">
      <c r="C31" s="72"/>
    </row>
    <row r="32" spans="3:6" ht="21.75" customHeight="1">
      <c r="C32" s="72"/>
    </row>
    <row r="33" spans="3:3" ht="14.25" customHeight="1">
      <c r="C33" s="72"/>
    </row>
    <row r="34" spans="3:3">
      <c r="C34" s="72"/>
    </row>
    <row r="35" spans="3:3">
      <c r="C35" s="72"/>
    </row>
    <row r="37" spans="3:3" ht="12.75" customHeight="1">
      <c r="C37" s="72" t="s">
        <v>448</v>
      </c>
    </row>
    <row r="38" spans="3:3" ht="12.75" customHeight="1">
      <c r="C38" s="72"/>
    </row>
    <row r="39" spans="3:3" ht="19.5" customHeight="1">
      <c r="C39" s="72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29"/>
  <sheetViews>
    <sheetView tabSelected="1" view="pageBreakPreview" zoomScale="70" zoomScaleNormal="100" zoomScaleSheetLayoutView="70" workbookViewId="0">
      <selection activeCell="R9" sqref="R9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Styczeń </v>
      </c>
      <c r="E2" s="37">
        <f>'Dane podstawowe'!D8</f>
        <v>2023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73" t="s">
        <v>430</v>
      </c>
      <c r="C4" s="73"/>
      <c r="D4" s="74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75" t="s">
        <v>444</v>
      </c>
      <c r="C6" s="75"/>
      <c r="D6" s="75"/>
      <c r="E6" s="75"/>
      <c r="F6" s="75"/>
      <c r="G6" s="76" t="s">
        <v>446</v>
      </c>
      <c r="H6" s="77"/>
      <c r="I6" s="77"/>
      <c r="J6" s="78"/>
      <c r="K6" s="48" t="s">
        <v>447</v>
      </c>
      <c r="L6" s="75" t="s">
        <v>445</v>
      </c>
      <c r="M6" s="75"/>
      <c r="N6" s="75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52" t="s">
        <v>88</v>
      </c>
      <c r="C8" s="52" t="s">
        <v>269</v>
      </c>
      <c r="D8" s="51" t="s">
        <v>464</v>
      </c>
      <c r="E8" s="57">
        <v>14281706000000</v>
      </c>
      <c r="F8" s="55" t="s">
        <v>465</v>
      </c>
      <c r="G8" s="55">
        <v>0</v>
      </c>
      <c r="H8" s="49" t="s">
        <v>466</v>
      </c>
      <c r="I8" s="55">
        <v>0</v>
      </c>
      <c r="J8" s="55" t="s">
        <v>455</v>
      </c>
      <c r="K8" s="55">
        <v>0</v>
      </c>
      <c r="L8" s="55">
        <v>0</v>
      </c>
      <c r="M8" s="55"/>
      <c r="N8" s="55"/>
      <c r="O8" s="53" t="s">
        <v>467</v>
      </c>
    </row>
    <row r="9" spans="1:15" ht="90.75" customHeight="1">
      <c r="A9" s="47"/>
      <c r="B9" s="52" t="s">
        <v>91</v>
      </c>
      <c r="C9" s="52" t="s">
        <v>269</v>
      </c>
      <c r="D9" s="51" t="s">
        <v>468</v>
      </c>
      <c r="E9" s="54" t="s">
        <v>469</v>
      </c>
      <c r="F9" s="55" t="s">
        <v>470</v>
      </c>
      <c r="G9" s="55">
        <v>224</v>
      </c>
      <c r="H9" s="49" t="s">
        <v>471</v>
      </c>
      <c r="I9" s="55"/>
      <c r="J9" s="55" t="s">
        <v>461</v>
      </c>
      <c r="K9" s="55"/>
      <c r="L9" s="55"/>
      <c r="M9" s="55" t="s">
        <v>472</v>
      </c>
      <c r="N9" s="55"/>
      <c r="O9" s="53">
        <v>44931</v>
      </c>
    </row>
    <row r="10" spans="1:15" ht="90.75" customHeight="1">
      <c r="A10" s="47"/>
      <c r="B10" s="52" t="s">
        <v>91</v>
      </c>
      <c r="C10" s="52" t="s">
        <v>269</v>
      </c>
      <c r="D10" s="51" t="s">
        <v>473</v>
      </c>
      <c r="E10" s="54" t="s">
        <v>474</v>
      </c>
      <c r="F10" s="55" t="s">
        <v>475</v>
      </c>
      <c r="G10" s="55">
        <v>144</v>
      </c>
      <c r="H10" s="49" t="s">
        <v>476</v>
      </c>
      <c r="I10" s="55">
        <v>144</v>
      </c>
      <c r="J10" s="55" t="s">
        <v>455</v>
      </c>
      <c r="K10" s="55"/>
      <c r="L10" s="55"/>
      <c r="M10" s="55"/>
      <c r="N10" s="55"/>
      <c r="O10" s="53">
        <v>44937</v>
      </c>
    </row>
    <row r="11" spans="1:15" ht="90.75" customHeight="1">
      <c r="B11" s="56" t="s">
        <v>91</v>
      </c>
      <c r="C11" s="52" t="s">
        <v>269</v>
      </c>
      <c r="D11" s="51" t="s">
        <v>477</v>
      </c>
      <c r="E11" s="57" t="s">
        <v>478</v>
      </c>
      <c r="F11" s="52" t="s">
        <v>479</v>
      </c>
      <c r="G11" s="52">
        <v>165</v>
      </c>
      <c r="H11" s="70" t="s">
        <v>471</v>
      </c>
      <c r="I11" s="52"/>
      <c r="J11" s="55" t="s">
        <v>455</v>
      </c>
      <c r="K11" s="49"/>
      <c r="L11" s="52"/>
      <c r="M11" s="52"/>
      <c r="N11" s="69"/>
      <c r="O11" s="53">
        <v>44945</v>
      </c>
    </row>
    <row r="12" spans="1:15" ht="90.75" customHeight="1">
      <c r="B12" s="56" t="s">
        <v>91</v>
      </c>
      <c r="C12" s="52" t="s">
        <v>269</v>
      </c>
      <c r="D12" s="51" t="s">
        <v>480</v>
      </c>
      <c r="E12" s="54" t="s">
        <v>481</v>
      </c>
      <c r="F12" s="52" t="s">
        <v>482</v>
      </c>
      <c r="G12" s="52">
        <v>50</v>
      </c>
      <c r="H12" s="70" t="s">
        <v>471</v>
      </c>
      <c r="I12" s="52"/>
      <c r="J12" s="55" t="s">
        <v>455</v>
      </c>
      <c r="K12" s="49"/>
      <c r="L12" s="52"/>
      <c r="M12" s="52"/>
      <c r="N12" s="52"/>
      <c r="O12" s="53">
        <v>44951</v>
      </c>
    </row>
    <row r="13" spans="1:15" ht="90.75" customHeight="1">
      <c r="B13" s="56" t="s">
        <v>91</v>
      </c>
      <c r="C13" s="52" t="s">
        <v>269</v>
      </c>
      <c r="D13" s="51" t="s">
        <v>456</v>
      </c>
      <c r="E13" s="49">
        <v>10778878</v>
      </c>
      <c r="F13" s="49" t="s">
        <v>457</v>
      </c>
      <c r="G13" s="49">
        <v>0</v>
      </c>
      <c r="H13" s="49">
        <v>0</v>
      </c>
      <c r="I13" s="49">
        <v>0</v>
      </c>
      <c r="J13" s="49">
        <v>0</v>
      </c>
      <c r="K13" s="49">
        <v>16</v>
      </c>
      <c r="L13" s="49">
        <v>0</v>
      </c>
      <c r="M13" s="49">
        <v>0</v>
      </c>
      <c r="N13" s="49">
        <v>0</v>
      </c>
      <c r="O13" s="58">
        <v>44587</v>
      </c>
    </row>
    <row r="14" spans="1:15" ht="90.75" customHeight="1">
      <c r="B14" s="56" t="s">
        <v>91</v>
      </c>
      <c r="C14" s="52" t="s">
        <v>269</v>
      </c>
      <c r="D14" s="51" t="s">
        <v>483</v>
      </c>
      <c r="E14" s="54" t="s">
        <v>484</v>
      </c>
      <c r="F14" s="52" t="s">
        <v>485</v>
      </c>
      <c r="G14" s="49">
        <v>0</v>
      </c>
      <c r="H14" s="49">
        <v>0</v>
      </c>
      <c r="I14" s="49">
        <v>0</v>
      </c>
      <c r="J14" s="49">
        <v>0</v>
      </c>
      <c r="K14" s="49">
        <v>24</v>
      </c>
      <c r="L14" s="49">
        <v>0</v>
      </c>
      <c r="M14" s="49">
        <v>0</v>
      </c>
      <c r="N14" s="49">
        <v>0</v>
      </c>
      <c r="O14" s="58">
        <v>44586</v>
      </c>
    </row>
    <row r="15" spans="1:15" ht="90.75" customHeight="1">
      <c r="B15" s="56" t="s">
        <v>91</v>
      </c>
      <c r="C15" s="52" t="s">
        <v>269</v>
      </c>
      <c r="D15" s="51" t="s">
        <v>462</v>
      </c>
      <c r="E15" s="54" t="s">
        <v>463</v>
      </c>
      <c r="F15" s="55" t="s">
        <v>452</v>
      </c>
      <c r="G15" s="55">
        <v>0</v>
      </c>
      <c r="H15" s="49">
        <v>0</v>
      </c>
      <c r="I15" s="55">
        <v>0</v>
      </c>
      <c r="J15" s="55">
        <v>0</v>
      </c>
      <c r="K15" s="55">
        <v>7</v>
      </c>
      <c r="L15" s="55">
        <v>0</v>
      </c>
      <c r="M15" s="55">
        <v>0</v>
      </c>
      <c r="N15" s="55">
        <v>0</v>
      </c>
      <c r="O15" s="53">
        <v>44588</v>
      </c>
    </row>
    <row r="16" spans="1:15" ht="90.75" customHeight="1">
      <c r="B16" s="56" t="s">
        <v>91</v>
      </c>
      <c r="C16" s="56" t="s">
        <v>269</v>
      </c>
      <c r="D16" s="60" t="s">
        <v>486</v>
      </c>
      <c r="E16" s="61" t="s">
        <v>487</v>
      </c>
      <c r="F16" s="56" t="s">
        <v>457</v>
      </c>
      <c r="G16" s="56">
        <v>0</v>
      </c>
      <c r="H16" s="56">
        <v>0</v>
      </c>
      <c r="I16" s="56">
        <v>0</v>
      </c>
      <c r="J16" s="62">
        <v>0</v>
      </c>
      <c r="K16" s="63">
        <v>10</v>
      </c>
      <c r="L16" s="56">
        <v>0</v>
      </c>
      <c r="M16" s="56">
        <v>0</v>
      </c>
      <c r="N16" s="56">
        <v>0</v>
      </c>
      <c r="O16" s="64">
        <v>44953</v>
      </c>
    </row>
    <row r="17" spans="2:16" ht="90.75" customHeight="1">
      <c r="B17" s="56" t="s">
        <v>91</v>
      </c>
      <c r="C17" s="56" t="s">
        <v>269</v>
      </c>
      <c r="D17" s="60" t="s">
        <v>488</v>
      </c>
      <c r="E17" s="61" t="s">
        <v>469</v>
      </c>
      <c r="F17" s="56" t="s">
        <v>470</v>
      </c>
      <c r="G17" s="56">
        <v>0</v>
      </c>
      <c r="H17" s="56">
        <v>0</v>
      </c>
      <c r="I17" s="56">
        <v>0</v>
      </c>
      <c r="J17" s="62">
        <v>0</v>
      </c>
      <c r="K17" s="63">
        <v>1</v>
      </c>
      <c r="L17" s="56">
        <v>0</v>
      </c>
      <c r="M17" s="56">
        <v>0</v>
      </c>
      <c r="N17" s="56">
        <v>0</v>
      </c>
      <c r="O17" s="64">
        <v>44956</v>
      </c>
      <c r="P17" s="30"/>
    </row>
    <row r="18" spans="2:16" ht="90.75" customHeight="1">
      <c r="B18" s="56" t="s">
        <v>91</v>
      </c>
      <c r="C18" s="56" t="s">
        <v>269</v>
      </c>
      <c r="D18" s="60" t="s">
        <v>489</v>
      </c>
      <c r="E18" s="63" t="s">
        <v>490</v>
      </c>
      <c r="F18" s="63" t="s">
        <v>491</v>
      </c>
      <c r="G18" s="63">
        <v>0</v>
      </c>
      <c r="H18" s="63">
        <v>0</v>
      </c>
      <c r="I18" s="63">
        <v>0</v>
      </c>
      <c r="J18" s="63">
        <v>0</v>
      </c>
      <c r="K18" s="63">
        <v>4</v>
      </c>
      <c r="L18" s="63">
        <v>0</v>
      </c>
      <c r="M18" s="63">
        <v>0</v>
      </c>
      <c r="N18" s="63">
        <v>0</v>
      </c>
      <c r="O18" s="65">
        <v>44951</v>
      </c>
    </row>
    <row r="19" spans="2:16" ht="90.75" customHeight="1">
      <c r="B19" s="56" t="s">
        <v>91</v>
      </c>
      <c r="C19" s="56" t="s">
        <v>269</v>
      </c>
      <c r="D19" s="51" t="s">
        <v>492</v>
      </c>
      <c r="E19" s="54" t="s">
        <v>493</v>
      </c>
      <c r="F19" s="52" t="s">
        <v>494</v>
      </c>
      <c r="G19" s="63">
        <v>0</v>
      </c>
      <c r="H19" s="63">
        <v>0</v>
      </c>
      <c r="I19" s="63">
        <v>0</v>
      </c>
      <c r="J19" s="63">
        <v>0</v>
      </c>
      <c r="K19" s="63">
        <v>1</v>
      </c>
      <c r="L19" s="63">
        <v>0</v>
      </c>
      <c r="M19" s="63">
        <v>0</v>
      </c>
      <c r="N19" s="63">
        <v>0</v>
      </c>
      <c r="O19" s="65">
        <v>44953</v>
      </c>
    </row>
    <row r="20" spans="2:16" ht="90.75" customHeight="1">
      <c r="B20" s="56" t="s">
        <v>91</v>
      </c>
      <c r="C20" s="56" t="s">
        <v>269</v>
      </c>
      <c r="D20" s="51" t="s">
        <v>495</v>
      </c>
      <c r="E20" s="66" t="s">
        <v>496</v>
      </c>
      <c r="F20" s="52" t="s">
        <v>497</v>
      </c>
      <c r="G20" s="63">
        <v>0</v>
      </c>
      <c r="H20" s="63">
        <v>0</v>
      </c>
      <c r="I20" s="63">
        <v>0</v>
      </c>
      <c r="J20" s="63">
        <v>0</v>
      </c>
      <c r="K20" s="63">
        <v>13</v>
      </c>
      <c r="L20" s="63">
        <v>0</v>
      </c>
      <c r="M20" s="67">
        <v>0</v>
      </c>
      <c r="N20" s="63">
        <v>0</v>
      </c>
      <c r="O20" s="65">
        <v>44956</v>
      </c>
    </row>
    <row r="21" spans="2:16" ht="90.75" customHeight="1">
      <c r="B21" s="56" t="s">
        <v>91</v>
      </c>
      <c r="C21" s="56" t="s">
        <v>269</v>
      </c>
      <c r="D21" s="51" t="s">
        <v>498</v>
      </c>
      <c r="E21" s="68" t="s">
        <v>499</v>
      </c>
      <c r="F21" s="52" t="s">
        <v>500</v>
      </c>
      <c r="G21" s="63">
        <v>0</v>
      </c>
      <c r="H21" s="63">
        <v>0</v>
      </c>
      <c r="I21" s="63">
        <v>0</v>
      </c>
      <c r="J21" s="63">
        <v>0</v>
      </c>
      <c r="K21" s="52">
        <v>72</v>
      </c>
      <c r="L21" s="49">
        <v>0</v>
      </c>
      <c r="M21" s="49">
        <v>0</v>
      </c>
      <c r="N21" s="49">
        <v>0</v>
      </c>
      <c r="O21" s="53">
        <v>44950</v>
      </c>
    </row>
    <row r="22" spans="2:16" ht="90.75" customHeight="1">
      <c r="B22" s="56" t="s">
        <v>91</v>
      </c>
      <c r="C22" s="56" t="s">
        <v>269</v>
      </c>
      <c r="D22" s="51" t="s">
        <v>501</v>
      </c>
      <c r="E22" s="59">
        <v>385553456</v>
      </c>
      <c r="F22" s="52" t="s">
        <v>502</v>
      </c>
      <c r="G22" s="63">
        <v>0</v>
      </c>
      <c r="H22" s="63">
        <v>0</v>
      </c>
      <c r="I22" s="63">
        <v>0</v>
      </c>
      <c r="J22" s="63">
        <v>0</v>
      </c>
      <c r="K22" s="52">
        <v>62</v>
      </c>
      <c r="L22" s="49">
        <v>0</v>
      </c>
      <c r="M22" s="49">
        <v>0</v>
      </c>
      <c r="N22" s="49">
        <v>0</v>
      </c>
      <c r="O22" s="53">
        <v>44950</v>
      </c>
    </row>
    <row r="23" spans="2:16" ht="90.75" customHeight="1">
      <c r="B23" s="56" t="s">
        <v>91</v>
      </c>
      <c r="C23" s="56" t="s">
        <v>269</v>
      </c>
      <c r="D23" s="51" t="s">
        <v>503</v>
      </c>
      <c r="E23" s="54" t="s">
        <v>458</v>
      </c>
      <c r="F23" s="55" t="s">
        <v>459</v>
      </c>
      <c r="G23" s="63">
        <v>0</v>
      </c>
      <c r="H23" s="63">
        <v>0</v>
      </c>
      <c r="I23" s="63">
        <v>0</v>
      </c>
      <c r="J23" s="63">
        <v>0</v>
      </c>
      <c r="K23" s="52">
        <v>760</v>
      </c>
      <c r="L23" s="49">
        <v>0</v>
      </c>
      <c r="M23" s="49">
        <v>0</v>
      </c>
      <c r="N23" s="49">
        <v>0</v>
      </c>
      <c r="O23" s="53">
        <v>44959</v>
      </c>
    </row>
    <row r="24" spans="2:16" ht="90.75" customHeight="1">
      <c r="B24" s="56" t="s">
        <v>91</v>
      </c>
      <c r="C24" s="56" t="s">
        <v>269</v>
      </c>
      <c r="D24" s="51" t="s">
        <v>504</v>
      </c>
      <c r="E24" s="52">
        <v>16017838</v>
      </c>
      <c r="F24" s="52" t="s">
        <v>505</v>
      </c>
      <c r="G24" s="63">
        <v>0</v>
      </c>
      <c r="H24" s="63">
        <v>0</v>
      </c>
      <c r="I24" s="63">
        <v>0</v>
      </c>
      <c r="J24" s="63">
        <v>0</v>
      </c>
      <c r="K24" s="52">
        <v>38</v>
      </c>
      <c r="L24" s="49">
        <v>0</v>
      </c>
      <c r="M24" s="49">
        <v>0</v>
      </c>
      <c r="N24" s="49">
        <v>0</v>
      </c>
      <c r="O24" s="53">
        <v>44951</v>
      </c>
    </row>
    <row r="25" spans="2:16" ht="90.75" customHeight="1">
      <c r="B25" s="56" t="s">
        <v>91</v>
      </c>
      <c r="C25" s="56" t="s">
        <v>269</v>
      </c>
      <c r="D25" s="51" t="s">
        <v>498</v>
      </c>
      <c r="E25" s="52" t="s">
        <v>499</v>
      </c>
      <c r="F25" s="52" t="s">
        <v>500</v>
      </c>
      <c r="G25" s="63">
        <v>0</v>
      </c>
      <c r="H25" s="63">
        <v>0</v>
      </c>
      <c r="I25" s="63">
        <v>0</v>
      </c>
      <c r="J25" s="63">
        <v>0</v>
      </c>
      <c r="K25" s="52">
        <v>53</v>
      </c>
      <c r="L25" s="49">
        <v>0</v>
      </c>
      <c r="M25" s="49">
        <v>0</v>
      </c>
      <c r="N25" s="49">
        <v>0</v>
      </c>
      <c r="O25" s="53">
        <v>44950</v>
      </c>
    </row>
    <row r="26" spans="2:16" ht="90.75" customHeight="1">
      <c r="B26" s="56" t="s">
        <v>91</v>
      </c>
      <c r="C26" s="56" t="s">
        <v>269</v>
      </c>
      <c r="D26" s="50" t="s">
        <v>506</v>
      </c>
      <c r="E26" s="54" t="s">
        <v>507</v>
      </c>
      <c r="F26" s="52" t="s">
        <v>508</v>
      </c>
      <c r="G26" s="63">
        <v>0</v>
      </c>
      <c r="H26" s="63">
        <v>0</v>
      </c>
      <c r="I26" s="63">
        <v>0</v>
      </c>
      <c r="J26" s="63">
        <v>0</v>
      </c>
      <c r="K26" s="52">
        <v>49</v>
      </c>
      <c r="L26" s="49">
        <v>0</v>
      </c>
      <c r="M26" s="49">
        <v>0</v>
      </c>
      <c r="N26" s="49">
        <v>0</v>
      </c>
      <c r="O26" s="53">
        <v>44951</v>
      </c>
    </row>
    <row r="27" spans="2:16" ht="90.75" customHeight="1">
      <c r="B27" s="49" t="s">
        <v>91</v>
      </c>
      <c r="C27" s="49" t="s">
        <v>269</v>
      </c>
      <c r="D27" s="50" t="s">
        <v>509</v>
      </c>
      <c r="E27" s="71" t="s">
        <v>510</v>
      </c>
      <c r="F27" s="49" t="s">
        <v>511</v>
      </c>
      <c r="G27" s="49">
        <v>0</v>
      </c>
      <c r="H27" s="49">
        <v>0</v>
      </c>
      <c r="I27" s="49">
        <v>0</v>
      </c>
      <c r="J27" s="49">
        <v>0</v>
      </c>
      <c r="K27" s="49">
        <v>30</v>
      </c>
      <c r="L27" s="49">
        <v>0</v>
      </c>
      <c r="M27" s="49">
        <v>0</v>
      </c>
      <c r="N27" s="49">
        <v>0</v>
      </c>
      <c r="O27" s="49">
        <v>44952</v>
      </c>
    </row>
    <row r="28" spans="2:16" ht="90.75" customHeight="1">
      <c r="B28" s="49" t="s">
        <v>91</v>
      </c>
      <c r="C28" s="49" t="s">
        <v>269</v>
      </c>
      <c r="D28" s="50" t="s">
        <v>512</v>
      </c>
      <c r="E28" s="71" t="s">
        <v>513</v>
      </c>
      <c r="F28" s="49" t="s">
        <v>514</v>
      </c>
      <c r="G28" s="49">
        <v>0</v>
      </c>
      <c r="H28" s="49">
        <v>0</v>
      </c>
      <c r="I28" s="49">
        <v>0</v>
      </c>
      <c r="J28" s="49">
        <v>0</v>
      </c>
      <c r="K28" s="49">
        <v>1</v>
      </c>
      <c r="L28" s="49">
        <v>0</v>
      </c>
      <c r="M28" s="49">
        <v>0</v>
      </c>
      <c r="N28" s="49">
        <v>0</v>
      </c>
      <c r="O28" s="49">
        <v>44956</v>
      </c>
    </row>
    <row r="29" spans="2:16" ht="90.75" customHeight="1">
      <c r="B29" s="49" t="s">
        <v>91</v>
      </c>
      <c r="C29" s="49" t="s">
        <v>269</v>
      </c>
      <c r="D29" s="50" t="s">
        <v>515</v>
      </c>
      <c r="E29" s="71">
        <v>142656905</v>
      </c>
      <c r="F29" s="49" t="s">
        <v>516</v>
      </c>
      <c r="G29" s="49">
        <v>0</v>
      </c>
      <c r="H29" s="49">
        <v>0</v>
      </c>
      <c r="I29" s="49">
        <v>0</v>
      </c>
      <c r="J29" s="49">
        <v>0</v>
      </c>
      <c r="K29" s="49">
        <v>5</v>
      </c>
      <c r="L29" s="49">
        <v>0</v>
      </c>
      <c r="M29" s="49">
        <v>0</v>
      </c>
      <c r="N29" s="49">
        <v>0</v>
      </c>
      <c r="O29" s="49">
        <v>44957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2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2023-02-15T08:11:29Z</dcterms:modified>
</cp:coreProperties>
</file>
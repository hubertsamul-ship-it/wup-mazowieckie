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0" yWindow="0" windowWidth="21570" windowHeight="805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 calcMode="manual"/>
</workbook>
</file>

<file path=xl/calcChain.xml><?xml version="1.0" encoding="utf-8"?>
<calcChain xmlns="http://schemas.openxmlformats.org/spreadsheetml/2006/main">
  <c r="H44" i="5" l="1"/>
  <c r="I44" i="5"/>
  <c r="J44" i="5"/>
  <c r="K44" i="5" l="1"/>
  <c r="L44" i="5"/>
  <c r="G44" i="5"/>
  <c r="E2" i="5" l="1"/>
  <c r="D2" i="5"/>
  <c r="C2" i="5" l="1"/>
</calcChain>
</file>

<file path=xl/sharedStrings.xml><?xml version="1.0" encoding="utf-8"?>
<sst xmlns="http://schemas.openxmlformats.org/spreadsheetml/2006/main" count="638" uniqueCount="536">
  <si>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</si>
  <si>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</si>
  <si>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</si>
  <si>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</si>
  <si>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</si>
  <si>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</si>
  <si>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</si>
  <si>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</si>
  <si>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</si>
  <si>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</si>
  <si>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</si>
  <si>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</si>
  <si>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</si>
  <si>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</si>
  <si>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</si>
  <si>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</si>
  <si>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</si>
  <si>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</si>
  <si>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</si>
  <si>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</si>
  <si>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</si>
  <si>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</si>
  <si>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</si>
  <si>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</si>
  <si>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</si>
  <si>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</si>
  <si>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</si>
  <si>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</si>
  <si>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</si>
  <si>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</si>
  <si>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</si>
  <si>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</si>
  <si>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</si>
  <si>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</si>
  <si>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</si>
  <si>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</si>
  <si>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</si>
  <si>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</si>
  <si>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</si>
  <si>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</si>
  <si>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</si>
  <si>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</si>
  <si>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</si>
  <si>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</si>
  <si>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</si>
  <si>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</si>
  <si>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</si>
  <si>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</si>
  <si>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</si>
  <si>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</si>
  <si>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</si>
  <si>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</si>
  <si>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</si>
  <si>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</si>
  <si>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</si>
  <si>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</si>
  <si>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</si>
  <si>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</si>
  <si>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</si>
  <si>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</si>
  <si>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</si>
  <si>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</si>
  <si>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</si>
  <si>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</si>
  <si>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</si>
  <si>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</si>
  <si>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</si>
  <si>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</si>
  <si>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</si>
  <si>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</si>
  <si>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</si>
  <si>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</si>
  <si>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</si>
  <si>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</si>
  <si>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</si>
  <si>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</si>
  <si>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</si>
  <si>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</si>
  <si>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</si>
  <si>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</si>
  <si>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</si>
  <si>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</si>
  <si>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</si>
  <si>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</si>
  <si>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</si>
  <si>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</si>
  <si>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</si>
  <si>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</si>
  <si>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</si>
  <si>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</si>
  <si>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</si>
  <si>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</si>
  <si>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</si>
  <si>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</si>
  <si>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</si>
  <si>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</si>
  <si>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</si>
  <si>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</si>
  <si>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</si>
  <si>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</si>
  <si>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</si>
  <si>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</si>
  <si>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</si>
  <si>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</si>
  <si>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</si>
  <si>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</si>
  <si>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</si>
  <si>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</si>
  <si>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</si>
  <si>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</si>
  <si>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</si>
  <si>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</si>
  <si>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</si>
  <si>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</si>
  <si>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</si>
  <si>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</si>
  <si>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</si>
  <si>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</si>
  <si>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</si>
  <si>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</si>
  <si>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</si>
  <si>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</si>
  <si>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</si>
  <si>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</si>
  <si>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</si>
  <si>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</si>
  <si>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</si>
  <si>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</si>
  <si>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</si>
  <si>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</si>
  <si>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</si>
  <si>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</si>
  <si>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</si>
  <si>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</si>
  <si>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</si>
  <si>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</si>
  <si>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</si>
  <si>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</si>
  <si>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</si>
  <si>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</si>
  <si>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</si>
  <si>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</si>
  <si>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</si>
  <si>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</si>
  <si>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</si>
  <si>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</si>
  <si>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</si>
  <si>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</si>
  <si>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</si>
  <si>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</si>
  <si>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</si>
  <si>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</si>
  <si>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</si>
  <si>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</si>
  <si>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</si>
  <si>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</si>
  <si>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</si>
  <si>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</si>
  <si>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</si>
  <si>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</si>
  <si>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</si>
  <si>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</si>
  <si>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</si>
  <si>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</si>
  <si>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</si>
  <si>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</si>
  <si>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</si>
  <si>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</si>
  <si>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</si>
  <si>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</si>
  <si>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</si>
  <si>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</si>
  <si>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</si>
  <si>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</si>
  <si>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</si>
  <si>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</si>
  <si>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</si>
  <si>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</si>
  <si>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</si>
  <si>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</si>
  <si>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</si>
  <si>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</si>
  <si>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</si>
  <si>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</si>
  <si>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</si>
  <si>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</si>
  <si>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</si>
  <si>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</si>
  <si>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</si>
  <si>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</si>
  <si>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</si>
  <si>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</si>
  <si>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</si>
  <si>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</si>
  <si>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</si>
  <si>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</si>
  <si>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</si>
  <si>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</si>
  <si>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</si>
  <si>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</si>
  <si>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</si>
  <si>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</si>
  <si>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</si>
  <si>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</si>
  <si>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</si>
  <si>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</si>
  <si>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</si>
  <si>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</si>
  <si>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</si>
  <si>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</si>
  <si>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</si>
  <si>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</si>
  <si>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</si>
  <si>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</si>
  <si>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</si>
  <si>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</si>
  <si>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</si>
  <si>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</si>
  <si>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</si>
  <si>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</si>
  <si>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</si>
  <si>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</si>
  <si>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</si>
  <si>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</si>
  <si>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</si>
  <si>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</si>
  <si>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</si>
  <si>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</si>
  <si>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</si>
  <si>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</si>
  <si>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</si>
  <si>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</si>
  <si>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</si>
  <si>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</si>
  <si>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</si>
  <si>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</si>
  <si>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</si>
  <si>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</si>
  <si>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</si>
  <si>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</si>
  <si>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</si>
  <si>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</si>
  <si>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</si>
  <si>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</si>
  <si>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</si>
  <si>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</si>
  <si>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</si>
  <si>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</si>
  <si>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</si>
  <si>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</si>
  <si>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</si>
  <si>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</si>
  <si>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</si>
  <si>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</si>
  <si>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</si>
  <si>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</si>
  <si>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</si>
  <si>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</si>
  <si>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</si>
  <si>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</si>
  <si>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</si>
  <si>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</si>
  <si>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</si>
  <si>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</si>
  <si>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</si>
  <si>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</si>
  <si>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</si>
  <si>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</si>
  <si>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</si>
  <si>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</si>
  <si>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</si>
  <si>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</si>
  <si>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</si>
  <si>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</si>
  <si>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</si>
  <si>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</si>
  <si>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</si>
  <si>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</si>
  <si>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</si>
  <si>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</si>
  <si>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</si>
  <si>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</si>
  <si>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</si>
  <si>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</si>
  <si>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</si>
  <si>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</si>
  <si>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</si>
  <si>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</si>
  <si>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</si>
  <si>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</si>
  <si>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</si>
  <si>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</si>
  <si>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</si>
  <si>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</si>
  <si>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</si>
  <si>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</si>
  <si>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</si>
  <si>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</si>
  <si>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</si>
  <si>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</si>
  <si>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</si>
  <si>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</si>
  <si>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</si>
  <si>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</si>
  <si>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</si>
  <si>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</si>
  <si>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</si>
  <si>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</si>
  <si>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</si>
  <si>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</si>
  <si>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</si>
  <si>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</si>
  <si>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</si>
  <si>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</si>
  <si>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</si>
  <si>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</si>
  <si>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</si>
  <si>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</si>
  <si>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</si>
  <si>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</si>
  <si>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</si>
  <si>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</si>
  <si>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</si>
  <si>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</si>
  <si>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</si>
  <si>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</si>
  <si>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</si>
  <si>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</si>
  <si>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</si>
  <si>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</si>
  <si>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</si>
  <si>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</si>
  <si>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</si>
  <si>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</si>
  <si>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</si>
  <si>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</si>
  <si>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</si>
  <si>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</si>
  <si>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</si>
  <si>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</si>
  <si>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</si>
  <si>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</si>
  <si>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</si>
  <si>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</si>
  <si>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</si>
  <si>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</si>
  <si>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</si>
  <si>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</si>
  <si>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</si>
  <si>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</si>
  <si>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</si>
  <si>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</si>
  <si>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</si>
  <si>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</si>
  <si>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</si>
  <si>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</si>
  <si>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</si>
  <si>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</si>
  <si>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</si>
  <si>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</si>
  <si>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</si>
  <si>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</si>
  <si>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</si>
  <si>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</si>
  <si>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</si>
  <si>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</si>
  <si>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</si>
  <si>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</si>
  <si>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</si>
  <si>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</si>
  <si>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</si>
  <si>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</si>
  <si>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</si>
  <si>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</si>
  <si>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</si>
  <si>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</si>
  <si>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</si>
  <si>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</si>
  <si>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</si>
  <si>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</si>
  <si>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</si>
  <si>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</si>
  <si>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</si>
  <si>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</si>
  <si>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</si>
  <si>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</si>
  <si>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</si>
  <si>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</si>
  <si>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</si>
  <si>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</si>
  <si>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</si>
  <si>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</si>
  <si>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</si>
  <si>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</si>
  <si>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</si>
  <si>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</si>
  <si>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</si>
  <si>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</si>
  <si>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</si>
  <si>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</si>
  <si>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</si>
  <si>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</si>
  <si>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</si>
  <si>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</si>
  <si>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</si>
  <si>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</si>
  <si>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</si>
  <si>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</si>
  <si>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</si>
  <si>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</si>
  <si>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</si>
  <si>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</si>
  <si>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</si>
  <si>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</si>
  <si>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</si>
  <si>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</si>
  <si>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</si>
  <si>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</si>
  <si>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</si>
  <si>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</si>
  <si>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</si>
  <si>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</si>
  <si>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</si>
  <si>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</si>
  <si>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</si>
  <si>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</si>
  <si>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</si>
  <si>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</si>
  <si>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</si>
  <si>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</si>
  <si>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</si>
  <si>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</si>
  <si>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</si>
  <si>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</si>
  <si>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</si>
  <si>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</si>
  <si>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</si>
  <si>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</si>
  <si>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</si>
  <si>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</si>
  <si>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</si>
  <si>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</si>
  <si>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</si>
  <si>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</si>
  <si>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</si>
  <si>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</si>
  <si>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</si>
  <si>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</si>
  <si>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</si>
  <si>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</si>
  <si>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</si>
  <si>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</si>
  <si>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nie</t>
  </si>
  <si>
    <t>6419Z</t>
  </si>
  <si>
    <t>Hubert Samul</t>
  </si>
  <si>
    <t>h.samul@wup.mazowsze.pl</t>
  </si>
  <si>
    <t>Stora Enso Poland S.A.</t>
  </si>
  <si>
    <t>55041262700000</t>
  </si>
  <si>
    <t>1712Z</t>
  </si>
  <si>
    <t>30.11.2020</t>
  </si>
  <si>
    <t>Technicolor Polska Sp. z.o.o</t>
  </si>
  <si>
    <t>2221Z</t>
  </si>
  <si>
    <t>luty-lipiec 2021</t>
  </si>
  <si>
    <t>17.12.2020</t>
  </si>
  <si>
    <t>HOTEL DĘBOWA GÓRA ACTIVE &amp; SPA Bogdan Sumiński</t>
  </si>
  <si>
    <t>2020.10.31</t>
  </si>
  <si>
    <t>NEST BANK SPÓŁKA AKCYJNA</t>
  </si>
  <si>
    <t>1092812500-000</t>
  </si>
  <si>
    <t>29.12.2020</t>
  </si>
  <si>
    <t>Orange Polska S.A.                                  Al. Jerozolimskie 160                                   02-326 Warszawa</t>
  </si>
  <si>
    <t>012100784</t>
  </si>
  <si>
    <t>6110Z</t>
  </si>
  <si>
    <t>10.2020 r. -12.2021 r.</t>
  </si>
  <si>
    <t xml:space="preserve">Pracodawca realizuje program outplacementu we współpracy z firmami zewnętrznymi. Program obejmuje indywidualną pracę z konsultantem zewnętrznym, wsparcie w znalezieniu zatrudnienia na rynku zewnętrznym. </t>
  </si>
  <si>
    <t>Monetia Sp. z o.o.                         ul. Grójecka 5                                 02-019 Warszawa</t>
  </si>
  <si>
    <t>09-12.2020</t>
  </si>
  <si>
    <t>Carlson Wagonlit Ecenter                       Polska Sp. zo.o.                                 ul. Domaniewska 41                               02-672 Warszawa</t>
  </si>
  <si>
    <t>277700010</t>
  </si>
  <si>
    <t>7990C</t>
  </si>
  <si>
    <t>12.2020 r. -03.2021 r.</t>
  </si>
  <si>
    <t xml:space="preserve">Nest Bank  S.A.                                  ul. Wołowska 24                                           02-675 Warszawa </t>
  </si>
  <si>
    <t>010928125</t>
  </si>
  <si>
    <t>01-03.2021</t>
  </si>
  <si>
    <t>PKO BP S.A.                                                      ul. Puławska 15                                            02-515 Warszawa</t>
  </si>
  <si>
    <t xml:space="preserve">01-12.2021 </t>
  </si>
  <si>
    <t>Provident Polska S.A.                                   ul. Inflancka 4a                                  03-189 Warszawa</t>
  </si>
  <si>
    <t>011994880</t>
  </si>
  <si>
    <t>6492Z</t>
  </si>
  <si>
    <t>Skanska S.A.,                                             Al. Solidarności 173                        00-877 Warszawa</t>
  </si>
  <si>
    <t>4120Z</t>
  </si>
  <si>
    <t>Agito Sp. z o.o.                                              ul. Inflancka 4 a                               00-189 Warszawa</t>
  </si>
  <si>
    <t>4791Z</t>
  </si>
  <si>
    <t xml:space="preserve">Global Business Travel Poland SA   Al. Solidarności 173                                  00-877 Warszawa </t>
  </si>
  <si>
    <t>Tax  Care S.A. w likwidacji                   ul. Domaniewskiej 45                   02-672 Warszawa</t>
  </si>
  <si>
    <t>6920Z</t>
  </si>
  <si>
    <t xml:space="preserve">Zespół Zarządców Nieruchomości Sp. z o.o. ul. Komietu Obrony Nieruchomości 48 02-146 Warszawa </t>
  </si>
  <si>
    <t>015813065</t>
  </si>
  <si>
    <t>6832Z</t>
  </si>
  <si>
    <t>Hotele Warszawskie „Syrena” Sp. z o.o.                                                                          Pl. Konstytucji 1                                       00-647 Warszawa</t>
  </si>
  <si>
    <t>TRYUMF Sp. zo.o  ul. Władysława Grabskiego 8                                                      37-450 Stalowa Wola</t>
  </si>
  <si>
    <t>4690Z</t>
  </si>
  <si>
    <t>Rapid Finanse Polska                             Sp. z o.o.                                                  ul. Postępu 18A                              02-676 Warszawa</t>
  </si>
  <si>
    <t>6499Z</t>
  </si>
  <si>
    <t>Smartwings Poland Sp. z o.o.         ul. Gordona Benetta 2B                  02-159 Warszawa</t>
  </si>
  <si>
    <t>5110Z</t>
  </si>
  <si>
    <t xml:space="preserve">Accenture Operations sp. z o.o.                     ul. Sienna 39 00-121 Warszawa </t>
  </si>
  <si>
    <t>7022Z</t>
  </si>
  <si>
    <t xml:space="preserve">Accenture Services sp. z o.o.                     ul. Sienna 39 00-121 Warszawa </t>
  </si>
  <si>
    <t>TWE SERVICES   Sp. z o.o.   Al. Ujazdowskie 13 00-567 Warszawa</t>
  </si>
  <si>
    <t>5610A</t>
  </si>
  <si>
    <t>Svenska Handelsbanken AB               ( Spółka Akcyjna) Oddział                   w Polsce  ul. Wołowska 22  02-675  Warszawa</t>
  </si>
  <si>
    <t>British American Tobacco Polska Trading  Sp. z o.o.                          ul. Krakowiaków 48                        02-255 Warszawa</t>
  </si>
  <si>
    <t>4635Z</t>
  </si>
  <si>
    <t xml:space="preserve">Pierre Fabre Dermo-Cosmetique Polska Sp. z o.o.                             ul. Belwederska 20/22                          00-762 Warszawa </t>
  </si>
  <si>
    <t>4645Z</t>
  </si>
  <si>
    <t xml:space="preserve">Gao Sp. z o.o. w likwidacji                          ul. Wyrzyska 6 81-441 Warszawa </t>
  </si>
  <si>
    <t>093139033</t>
  </si>
  <si>
    <t>4771Z</t>
  </si>
  <si>
    <t>PKO BP S.A.                                            ul. Puławska 15                                       02-515 Warszawa</t>
  </si>
  <si>
    <t>Planet Shared Serrvices Center                  Sp.  z o.o.                                                     ul. Domaniewska 39                                      02-672 Warszawa</t>
  </si>
  <si>
    <t>141548125</t>
  </si>
  <si>
    <t>6201Z</t>
  </si>
  <si>
    <t>Wydawnictwo Muzyczne Sp. z o.o. Fono Sp. K. ul. Heliotropów                           45/53 04-796 Warszawa</t>
  </si>
  <si>
    <t>5920Z</t>
  </si>
  <si>
    <t xml:space="preserve">Mash Poland Sp. z o.o.     Al. Jerozolimskie 172                                                    02-486 Warszawa </t>
  </si>
  <si>
    <t>Promod Polska   Sp. z o.o.                                   ul. Jasna 24                                                  00-054 Warszawa</t>
  </si>
  <si>
    <t>014943140</t>
  </si>
  <si>
    <t xml:space="preserve">Woerwag Pharma Polska                   Sp. z o.o.                                                        ul. Dziekańskiego 1                             00-728 Warszawa </t>
  </si>
  <si>
    <t>365064030</t>
  </si>
  <si>
    <t>4646Z</t>
  </si>
  <si>
    <t>Coca-Cola HBC  Polska                        Sp. z o.o.                                  ul. Żwirki i Wigury 16                                      02-092 Warszawa</t>
  </si>
  <si>
    <t>012833736</t>
  </si>
  <si>
    <t>1107Z</t>
  </si>
  <si>
    <t>PGE POLSKA GRUPA ENERGETYCZNA S.A.                    ul. Mysia 2, 00-496 Warszawa</t>
  </si>
  <si>
    <t>006227638</t>
  </si>
  <si>
    <t>7010Z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</si>
</sst>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4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0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2" fillId="0" borderId="1" xfId="0" applyNumberFormat="1" applyFont="1" applyFill="1" applyBorder="1" applyAlignment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 shrinkToFit="1"/>
    </xf>
    <xf numFmtId="49" fontId="13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righ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" xfId="0" applyFont="1" applyBorder="1" applyAlignment="1">
      <alignment wrapText="1"/>
    </xf>
    <xf numFmtId="0" fontId="13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right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13" fillId="0" borderId="1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 shrinkToFit="1"/>
    </xf>
    <xf numFmtId="0" fontId="13" fillId="0" borderId="1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E9" sqref="E9"/>
    </sheetView>
  </sheetViews>
  <sheetFormatPr defaultRowHeight="12.75" x14ac:dyDescent="0.2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 x14ac:dyDescent="0.25">
      <c r="C2" s="11" t="s">
        <v>438</v>
      </c>
    </row>
    <row r="4" spans="3:7" ht="15.75" x14ac:dyDescent="0.25">
      <c r="C4" s="11" t="s">
        <v>263</v>
      </c>
    </row>
    <row r="5" spans="3:7" ht="13.5" thickBot="1" x14ac:dyDescent="0.25"/>
    <row r="6" spans="3:7" ht="39.75" customHeight="1" thickBot="1" x14ac:dyDescent="0.25">
      <c r="C6" s="12" t="s">
        <v>262</v>
      </c>
      <c r="D6" s="15" t="s">
        <v>269</v>
      </c>
    </row>
    <row r="7" spans="3:7" ht="39.75" customHeight="1" thickBot="1" x14ac:dyDescent="0.25">
      <c r="C7" s="12" t="s">
        <v>429</v>
      </c>
      <c r="D7" s="16" t="s">
        <v>292</v>
      </c>
      <c r="E7" s="10"/>
    </row>
    <row r="8" spans="3:7" ht="38.25" customHeight="1" thickBot="1" x14ac:dyDescent="0.25">
      <c r="C8" s="12" t="s">
        <v>293</v>
      </c>
      <c r="D8" s="16">
        <v>2020</v>
      </c>
      <c r="E8" s="23"/>
    </row>
    <row r="12" spans="3:7" x14ac:dyDescent="0.2">
      <c r="C12" s="3"/>
      <c r="D12" s="4"/>
      <c r="E12" s="4"/>
      <c r="F12" s="4"/>
      <c r="G12" s="5"/>
    </row>
    <row r="13" spans="3:7" ht="51.75" customHeight="1" x14ac:dyDescent="0.2">
      <c r="C13" s="17" t="s">
        <v>439</v>
      </c>
      <c r="D13" s="1" t="s">
        <v>454</v>
      </c>
      <c r="E13" s="27" t="s">
        <v>455</v>
      </c>
      <c r="F13" s="50">
        <v>602349485</v>
      </c>
      <c r="G13" s="6"/>
    </row>
    <row r="14" spans="3:7" x14ac:dyDescent="0.2">
      <c r="C14" s="7"/>
      <c r="D14" s="9" t="s">
        <v>260</v>
      </c>
      <c r="E14" s="9" t="s">
        <v>259</v>
      </c>
      <c r="F14" s="9" t="s">
        <v>261</v>
      </c>
      <c r="G14" s="6"/>
    </row>
    <row r="15" spans="3:7" x14ac:dyDescent="0.2">
      <c r="C15" s="7"/>
      <c r="D15" s="2"/>
      <c r="E15" s="2"/>
      <c r="F15" s="2"/>
      <c r="G15" s="6"/>
    </row>
    <row r="16" spans="3:7" x14ac:dyDescent="0.2">
      <c r="C16" s="7"/>
      <c r="D16" s="24"/>
      <c r="E16" s="2"/>
      <c r="F16" s="2"/>
      <c r="G16" s="8"/>
    </row>
    <row r="17" spans="3:6" x14ac:dyDescent="0.2">
      <c r="C17" s="18"/>
      <c r="E17" s="18"/>
      <c r="F17" s="18"/>
    </row>
    <row r="20" spans="3:6" x14ac:dyDescent="0.2">
      <c r="C20" s="21" t="s">
        <v>279</v>
      </c>
    </row>
    <row r="22" spans="3:6" x14ac:dyDescent="0.2">
      <c r="C22" s="75" t="s">
        <v>440</v>
      </c>
      <c r="D22" s="19"/>
    </row>
    <row r="23" spans="3:6" ht="26.25" x14ac:dyDescent="0.4">
      <c r="C23" s="75"/>
      <c r="D23" s="20" t="s">
        <v>280</v>
      </c>
    </row>
    <row r="24" spans="3:6" ht="28.5" customHeight="1" x14ac:dyDescent="0.2">
      <c r="C24" s="75"/>
    </row>
    <row r="25" spans="3:6" x14ac:dyDescent="0.2">
      <c r="C25" s="22"/>
    </row>
    <row r="26" spans="3:6" x14ac:dyDescent="0.2">
      <c r="C26" s="75" t="s">
        <v>441</v>
      </c>
    </row>
    <row r="27" spans="3:6" x14ac:dyDescent="0.2">
      <c r="C27" s="75"/>
    </row>
    <row r="28" spans="3:6" ht="23.25" customHeight="1" x14ac:dyDescent="0.2">
      <c r="C28" s="75"/>
    </row>
    <row r="29" spans="3:6" x14ac:dyDescent="0.2">
      <c r="C29" s="22"/>
    </row>
    <row r="30" spans="3:6" ht="12.75" customHeight="1" x14ac:dyDescent="0.2">
      <c r="C30" s="75" t="s">
        <v>442</v>
      </c>
    </row>
    <row r="31" spans="3:6" ht="12.75" customHeight="1" x14ac:dyDescent="0.2">
      <c r="C31" s="75"/>
    </row>
    <row r="32" spans="3:6" ht="21.75" customHeight="1" x14ac:dyDescent="0.2">
      <c r="C32" s="75"/>
    </row>
    <row r="33" spans="3:3" ht="14.25" customHeight="1" x14ac:dyDescent="0.2">
      <c r="C33" s="75"/>
    </row>
    <row r="34" spans="3:3" x14ac:dyDescent="0.2">
      <c r="C34" s="75"/>
    </row>
    <row r="35" spans="3:3" x14ac:dyDescent="0.2">
      <c r="C35" s="75"/>
    </row>
    <row r="37" spans="3:3" ht="12.75" customHeight="1" x14ac:dyDescent="0.2">
      <c r="C37" s="75" t="s">
        <v>451</v>
      </c>
    </row>
    <row r="38" spans="3:3" ht="12.75" customHeight="1" x14ac:dyDescent="0.2">
      <c r="C38" s="75"/>
    </row>
    <row r="39" spans="3:3" ht="19.5" customHeight="1" x14ac:dyDescent="0.2">
      <c r="C39" s="75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tabSelected="1" view="pageBreakPreview" topLeftCell="A40" zoomScale="70" zoomScaleNormal="100" zoomScaleSheetLayoutView="70" workbookViewId="0">
      <selection activeCell="G44" sqref="G44:J44"/>
    </sheetView>
  </sheetViews>
  <sheetFormatPr defaultColWidth="9.140625" defaultRowHeight="90.75" customHeight="1" x14ac:dyDescent="0.2"/>
  <cols>
    <col min="1" max="1" width="1.85546875" style="28" customWidth="1"/>
    <col min="2" max="3" width="21.5703125" style="34" customWidth="1"/>
    <col min="4" max="4" width="40" style="31" customWidth="1"/>
    <col min="5" max="5" width="25.5703125" style="42" customWidth="1"/>
    <col min="6" max="6" width="13.140625" style="34" customWidth="1"/>
    <col min="7" max="7" width="14.42578125" style="34" customWidth="1"/>
    <col min="8" max="8" width="22.7109375" style="34" customWidth="1"/>
    <col min="9" max="9" width="17.28515625" style="34" customWidth="1"/>
    <col min="10" max="10" width="14.42578125" style="34" customWidth="1"/>
    <col min="11" max="11" width="26.7109375" style="34" customWidth="1"/>
    <col min="12" max="12" width="16.85546875" style="34" customWidth="1"/>
    <col min="13" max="13" width="24.85546875" style="34" customWidth="1"/>
    <col min="14" max="14" width="17.7109375" style="34" customWidth="1"/>
    <col min="15" max="15" width="23.7109375" style="34" customWidth="1"/>
    <col min="16" max="16384" width="9.140625" style="28"/>
  </cols>
  <sheetData>
    <row r="1" spans="1:15" ht="20.100000000000001" customHeight="1" x14ac:dyDescent="0.2">
      <c r="D1" s="41"/>
      <c r="F1" s="32"/>
    </row>
    <row r="2" spans="1:15" ht="20.100000000000001" customHeight="1" x14ac:dyDescent="0.2">
      <c r="B2" s="47" t="s">
        <v>2</v>
      </c>
      <c r="C2" s="48" t="str">
        <f>'Dane podstawowe'!$D$6</f>
        <v>MAZOWIECKIE</v>
      </c>
      <c r="D2" s="45" t="str">
        <f>'Dane podstawowe'!D7</f>
        <v xml:space="preserve">Grudzień </v>
      </c>
      <c r="E2" s="43">
        <f>'Dane podstawowe'!D8</f>
        <v>2020</v>
      </c>
      <c r="F2" s="33"/>
      <c r="G2" s="33"/>
      <c r="H2" s="33"/>
      <c r="I2" s="33"/>
    </row>
    <row r="3" spans="1:15" ht="20.100000000000001" customHeight="1" x14ac:dyDescent="0.2">
      <c r="E3" s="44"/>
    </row>
    <row r="4" spans="1:15" ht="20.100000000000001" customHeight="1" x14ac:dyDescent="0.2">
      <c r="B4" s="76" t="s">
        <v>431</v>
      </c>
      <c r="C4" s="76"/>
      <c r="D4" s="77"/>
      <c r="E4" s="44"/>
    </row>
    <row r="5" spans="1:15" ht="20.100000000000001" customHeight="1" x14ac:dyDescent="0.2">
      <c r="B5" s="49"/>
      <c r="C5" s="49"/>
      <c r="D5" s="46"/>
      <c r="E5" s="44"/>
    </row>
    <row r="6" spans="1:15" ht="90.75" customHeight="1" x14ac:dyDescent="0.25">
      <c r="B6" s="78" t="s">
        <v>446</v>
      </c>
      <c r="C6" s="78"/>
      <c r="D6" s="78"/>
      <c r="E6" s="78"/>
      <c r="F6" s="78"/>
      <c r="G6" s="80" t="s">
        <v>448</v>
      </c>
      <c r="H6" s="81"/>
      <c r="I6" s="81"/>
      <c r="J6" s="82"/>
      <c r="K6" s="36" t="s">
        <v>449</v>
      </c>
      <c r="L6" s="79" t="s">
        <v>447</v>
      </c>
      <c r="M6" s="79"/>
      <c r="N6" s="79"/>
      <c r="O6" s="40"/>
    </row>
    <row r="7" spans="1:15" ht="90.75" customHeight="1" x14ac:dyDescent="0.2">
      <c r="B7" s="29" t="s">
        <v>1</v>
      </c>
      <c r="C7" s="29" t="s">
        <v>428</v>
      </c>
      <c r="D7" s="39" t="s">
        <v>0</v>
      </c>
      <c r="E7" s="35" t="s">
        <v>436</v>
      </c>
      <c r="F7" s="29" t="s">
        <v>430</v>
      </c>
      <c r="G7" s="29" t="s">
        <v>433</v>
      </c>
      <c r="H7" s="29" t="s">
        <v>437</v>
      </c>
      <c r="I7" s="29" t="s">
        <v>434</v>
      </c>
      <c r="J7" s="29" t="s">
        <v>435</v>
      </c>
      <c r="K7" s="29" t="s">
        <v>432</v>
      </c>
      <c r="L7" s="29" t="s">
        <v>444</v>
      </c>
      <c r="M7" s="29" t="s">
        <v>443</v>
      </c>
      <c r="N7" s="29" t="s">
        <v>445</v>
      </c>
      <c r="O7" s="29" t="s">
        <v>450</v>
      </c>
    </row>
    <row r="8" spans="1:15" ht="90.75" customHeight="1" x14ac:dyDescent="0.25">
      <c r="A8" s="37"/>
      <c r="B8" s="51" t="s">
        <v>87</v>
      </c>
      <c r="C8" s="51" t="s">
        <v>269</v>
      </c>
      <c r="D8" s="52" t="s">
        <v>456</v>
      </c>
      <c r="E8" s="53" t="s">
        <v>457</v>
      </c>
      <c r="F8" s="51" t="s">
        <v>458</v>
      </c>
      <c r="G8" s="54">
        <v>0</v>
      </c>
      <c r="H8" s="54">
        <v>0</v>
      </c>
      <c r="I8" s="54">
        <v>0</v>
      </c>
      <c r="J8" s="54" t="s">
        <v>452</v>
      </c>
      <c r="K8" s="54">
        <v>8</v>
      </c>
      <c r="L8" s="54">
        <v>0</v>
      </c>
      <c r="M8" s="54">
        <v>0</v>
      </c>
      <c r="N8" s="54">
        <v>0</v>
      </c>
      <c r="O8" s="55" t="s">
        <v>459</v>
      </c>
    </row>
    <row r="9" spans="1:15" ht="90.75" customHeight="1" x14ac:dyDescent="0.25">
      <c r="A9" s="37"/>
      <c r="B9" s="51" t="s">
        <v>68</v>
      </c>
      <c r="C9" s="51" t="s">
        <v>269</v>
      </c>
      <c r="D9" s="52" t="s">
        <v>460</v>
      </c>
      <c r="E9" s="53">
        <v>10517669</v>
      </c>
      <c r="F9" s="51" t="s">
        <v>461</v>
      </c>
      <c r="G9" s="54">
        <v>174</v>
      </c>
      <c r="H9" s="54" t="s">
        <v>462</v>
      </c>
      <c r="I9" s="54">
        <v>0</v>
      </c>
      <c r="J9" s="54" t="s">
        <v>452</v>
      </c>
      <c r="K9" s="54">
        <v>0</v>
      </c>
      <c r="L9" s="54">
        <v>0</v>
      </c>
      <c r="M9" s="54">
        <v>0</v>
      </c>
      <c r="N9" s="54">
        <v>0</v>
      </c>
      <c r="O9" s="55" t="s">
        <v>463</v>
      </c>
    </row>
    <row r="10" spans="1:15" ht="90.75" customHeight="1" x14ac:dyDescent="0.25">
      <c r="A10" s="37"/>
      <c r="B10" s="51" t="s">
        <v>69</v>
      </c>
      <c r="C10" s="51" t="s">
        <v>269</v>
      </c>
      <c r="D10" s="52" t="s">
        <v>464</v>
      </c>
      <c r="E10" s="53">
        <v>130563000045</v>
      </c>
      <c r="F10" s="51">
        <v>5510</v>
      </c>
      <c r="G10" s="54">
        <v>23</v>
      </c>
      <c r="H10" s="54" t="s">
        <v>465</v>
      </c>
      <c r="I10" s="54"/>
      <c r="J10" s="54" t="s">
        <v>452</v>
      </c>
      <c r="K10" s="54">
        <v>23</v>
      </c>
      <c r="L10" s="54"/>
      <c r="M10" s="54"/>
      <c r="N10" s="54"/>
      <c r="O10" s="55">
        <v>44174</v>
      </c>
    </row>
    <row r="11" spans="1:15" ht="90.75" customHeight="1" x14ac:dyDescent="0.25">
      <c r="A11" s="37"/>
      <c r="B11" s="51" t="s">
        <v>90</v>
      </c>
      <c r="C11" s="51" t="s">
        <v>269</v>
      </c>
      <c r="D11" s="52" t="s">
        <v>466</v>
      </c>
      <c r="E11" s="53" t="s">
        <v>467</v>
      </c>
      <c r="F11" s="51" t="s">
        <v>453</v>
      </c>
      <c r="G11" s="51"/>
      <c r="H11" s="55"/>
      <c r="I11" s="54"/>
      <c r="J11" s="54"/>
      <c r="K11" s="54">
        <v>2</v>
      </c>
      <c r="L11" s="54"/>
      <c r="M11" s="54"/>
      <c r="N11" s="54"/>
      <c r="O11" s="55" t="s">
        <v>468</v>
      </c>
    </row>
    <row r="12" spans="1:15" ht="90.75" customHeight="1" x14ac:dyDescent="0.25">
      <c r="A12" s="37"/>
      <c r="B12" s="56" t="s">
        <v>91</v>
      </c>
      <c r="C12" s="56" t="s">
        <v>269</v>
      </c>
      <c r="D12" s="57" t="s">
        <v>469</v>
      </c>
      <c r="E12" s="58" t="s">
        <v>470</v>
      </c>
      <c r="F12" s="59" t="s">
        <v>471</v>
      </c>
      <c r="G12" s="59">
        <v>920</v>
      </c>
      <c r="H12" s="51" t="s">
        <v>472</v>
      </c>
      <c r="I12" s="59">
        <v>0</v>
      </c>
      <c r="J12" s="59" t="s">
        <v>452</v>
      </c>
      <c r="K12" s="60"/>
      <c r="L12" s="59">
        <v>920</v>
      </c>
      <c r="M12" s="54" t="s">
        <v>473</v>
      </c>
      <c r="N12" s="51" t="s">
        <v>472</v>
      </c>
      <c r="O12" s="61">
        <v>44174</v>
      </c>
    </row>
    <row r="13" spans="1:15" ht="90.75" customHeight="1" x14ac:dyDescent="0.25">
      <c r="A13" s="37"/>
      <c r="B13" s="56" t="s">
        <v>91</v>
      </c>
      <c r="C13" s="56" t="s">
        <v>269</v>
      </c>
      <c r="D13" s="57" t="s">
        <v>474</v>
      </c>
      <c r="E13" s="58">
        <v>472019979</v>
      </c>
      <c r="F13" s="59" t="s">
        <v>453</v>
      </c>
      <c r="G13" s="59">
        <v>52</v>
      </c>
      <c r="H13" s="51" t="s">
        <v>475</v>
      </c>
      <c r="I13" s="59">
        <v>0</v>
      </c>
      <c r="J13" s="59" t="s">
        <v>452</v>
      </c>
      <c r="K13" s="60"/>
      <c r="L13" s="59"/>
      <c r="M13" s="54"/>
      <c r="N13" s="62"/>
      <c r="O13" s="61">
        <v>44173</v>
      </c>
    </row>
    <row r="14" spans="1:15" ht="90.75" customHeight="1" x14ac:dyDescent="0.25">
      <c r="A14" s="37"/>
      <c r="B14" s="56" t="s">
        <v>91</v>
      </c>
      <c r="C14" s="56" t="s">
        <v>269</v>
      </c>
      <c r="D14" s="57" t="s">
        <v>476</v>
      </c>
      <c r="E14" s="58" t="s">
        <v>477</v>
      </c>
      <c r="F14" s="56" t="s">
        <v>478</v>
      </c>
      <c r="G14" s="59">
        <v>362</v>
      </c>
      <c r="H14" s="51" t="s">
        <v>479</v>
      </c>
      <c r="I14" s="59">
        <v>0</v>
      </c>
      <c r="J14" s="59" t="s">
        <v>452</v>
      </c>
      <c r="K14" s="60"/>
      <c r="L14" s="59"/>
      <c r="M14" s="54"/>
      <c r="N14" s="62"/>
      <c r="O14" s="61">
        <v>44183</v>
      </c>
    </row>
    <row r="15" spans="1:15" ht="90.75" customHeight="1" x14ac:dyDescent="0.25">
      <c r="A15" s="37"/>
      <c r="B15" s="56" t="s">
        <v>91</v>
      </c>
      <c r="C15" s="56" t="s">
        <v>269</v>
      </c>
      <c r="D15" s="57" t="s">
        <v>480</v>
      </c>
      <c r="E15" s="58" t="s">
        <v>481</v>
      </c>
      <c r="F15" s="56" t="s">
        <v>453</v>
      </c>
      <c r="G15" s="59">
        <v>205</v>
      </c>
      <c r="H15" s="54" t="s">
        <v>482</v>
      </c>
      <c r="I15" s="59">
        <v>0</v>
      </c>
      <c r="J15" s="59" t="s">
        <v>452</v>
      </c>
      <c r="K15" s="60"/>
      <c r="L15" s="59"/>
      <c r="M15" s="54"/>
      <c r="N15" s="62"/>
      <c r="O15" s="61">
        <v>44196</v>
      </c>
    </row>
    <row r="16" spans="1:15" ht="90.75" customHeight="1" x14ac:dyDescent="0.25">
      <c r="A16" s="37"/>
      <c r="B16" s="56" t="s">
        <v>91</v>
      </c>
      <c r="C16" s="56" t="s">
        <v>269</v>
      </c>
      <c r="D16" s="57" t="s">
        <v>483</v>
      </c>
      <c r="E16" s="58">
        <v>16298263</v>
      </c>
      <c r="F16" s="56" t="s">
        <v>453</v>
      </c>
      <c r="G16" s="59">
        <v>550</v>
      </c>
      <c r="H16" s="54" t="s">
        <v>484</v>
      </c>
      <c r="I16" s="59">
        <v>0</v>
      </c>
      <c r="J16" s="59" t="s">
        <v>452</v>
      </c>
      <c r="K16" s="60"/>
      <c r="L16" s="59"/>
      <c r="M16" s="54"/>
      <c r="N16" s="62"/>
      <c r="O16" s="61">
        <v>44196</v>
      </c>
    </row>
    <row r="17" spans="1:15" ht="90.75" customHeight="1" x14ac:dyDescent="0.25">
      <c r="A17" s="37"/>
      <c r="B17" s="56" t="s">
        <v>91</v>
      </c>
      <c r="C17" s="56" t="s">
        <v>269</v>
      </c>
      <c r="D17" s="57" t="s">
        <v>485</v>
      </c>
      <c r="E17" s="63" t="s">
        <v>486</v>
      </c>
      <c r="F17" s="51" t="s">
        <v>487</v>
      </c>
      <c r="G17" s="51">
        <v>0</v>
      </c>
      <c r="H17" s="64">
        <v>0</v>
      </c>
      <c r="I17" s="59">
        <v>0</v>
      </c>
      <c r="J17" s="59">
        <v>0</v>
      </c>
      <c r="K17" s="54">
        <v>1</v>
      </c>
      <c r="L17" s="54">
        <v>0</v>
      </c>
      <c r="M17" s="54">
        <v>0</v>
      </c>
      <c r="N17" s="54">
        <v>0</v>
      </c>
      <c r="O17" s="61">
        <v>44194</v>
      </c>
    </row>
    <row r="18" spans="1:15" ht="90.75" customHeight="1" x14ac:dyDescent="0.25">
      <c r="A18" s="37"/>
      <c r="B18" s="56" t="s">
        <v>91</v>
      </c>
      <c r="C18" s="56" t="s">
        <v>269</v>
      </c>
      <c r="D18" s="57" t="s">
        <v>488</v>
      </c>
      <c r="E18" s="56">
        <v>630782880</v>
      </c>
      <c r="F18" s="56" t="s">
        <v>489</v>
      </c>
      <c r="G18" s="51">
        <v>0</v>
      </c>
      <c r="H18" s="56">
        <v>0</v>
      </c>
      <c r="I18" s="56">
        <v>0</v>
      </c>
      <c r="J18" s="51">
        <v>0</v>
      </c>
      <c r="K18" s="51">
        <v>24</v>
      </c>
      <c r="L18" s="51">
        <v>0</v>
      </c>
      <c r="M18" s="51">
        <v>0</v>
      </c>
      <c r="N18" s="51">
        <v>0</v>
      </c>
      <c r="O18" s="61">
        <v>44166</v>
      </c>
    </row>
    <row r="19" spans="1:15" ht="90.75" customHeight="1" x14ac:dyDescent="0.25">
      <c r="A19" s="37"/>
      <c r="B19" s="56" t="s">
        <v>91</v>
      </c>
      <c r="C19" s="56" t="s">
        <v>269</v>
      </c>
      <c r="D19" s="57" t="s">
        <v>490</v>
      </c>
      <c r="E19" s="65">
        <v>15206780</v>
      </c>
      <c r="F19" s="51" t="s">
        <v>491</v>
      </c>
      <c r="G19" s="51">
        <v>0</v>
      </c>
      <c r="H19" s="51">
        <v>0</v>
      </c>
      <c r="I19" s="59">
        <v>0</v>
      </c>
      <c r="J19" s="59">
        <v>0</v>
      </c>
      <c r="K19" s="51">
        <v>6</v>
      </c>
      <c r="L19" s="59">
        <v>0</v>
      </c>
      <c r="M19" s="51">
        <v>0</v>
      </c>
      <c r="N19" s="51">
        <v>0</v>
      </c>
      <c r="O19" s="61">
        <v>44194</v>
      </c>
    </row>
    <row r="20" spans="1:15" ht="90.75" customHeight="1" x14ac:dyDescent="0.25">
      <c r="A20" s="37"/>
      <c r="B20" s="56" t="s">
        <v>91</v>
      </c>
      <c r="C20" s="56" t="s">
        <v>269</v>
      </c>
      <c r="D20" s="57" t="s">
        <v>492</v>
      </c>
      <c r="E20" s="56">
        <v>146157668</v>
      </c>
      <c r="F20" s="56" t="s">
        <v>478</v>
      </c>
      <c r="G20" s="51">
        <v>0</v>
      </c>
      <c r="H20" s="51">
        <v>0</v>
      </c>
      <c r="I20" s="59">
        <v>0</v>
      </c>
      <c r="J20" s="59">
        <v>0</v>
      </c>
      <c r="K20" s="51">
        <v>6</v>
      </c>
      <c r="L20" s="59">
        <v>0</v>
      </c>
      <c r="M20" s="51">
        <v>0</v>
      </c>
      <c r="N20" s="51">
        <v>0</v>
      </c>
      <c r="O20" s="61">
        <v>44193</v>
      </c>
    </row>
    <row r="21" spans="1:15" ht="90.75" customHeight="1" x14ac:dyDescent="0.25">
      <c r="A21" s="37"/>
      <c r="B21" s="56" t="s">
        <v>91</v>
      </c>
      <c r="C21" s="56" t="s">
        <v>269</v>
      </c>
      <c r="D21" s="66" t="s">
        <v>493</v>
      </c>
      <c r="E21" s="56">
        <v>141315705</v>
      </c>
      <c r="F21" s="56" t="s">
        <v>494</v>
      </c>
      <c r="G21" s="51">
        <v>0</v>
      </c>
      <c r="H21" s="51">
        <v>0</v>
      </c>
      <c r="I21" s="59">
        <v>0</v>
      </c>
      <c r="J21" s="59">
        <v>0</v>
      </c>
      <c r="K21" s="51">
        <v>81</v>
      </c>
      <c r="L21" s="59">
        <v>0</v>
      </c>
      <c r="M21" s="51">
        <v>0</v>
      </c>
      <c r="N21" s="51">
        <v>0</v>
      </c>
      <c r="O21" s="61">
        <v>44200</v>
      </c>
    </row>
    <row r="22" spans="1:15" ht="90.75" customHeight="1" x14ac:dyDescent="0.25">
      <c r="A22" s="37"/>
      <c r="B22" s="56" t="s">
        <v>91</v>
      </c>
      <c r="C22" s="56" t="s">
        <v>269</v>
      </c>
      <c r="D22" s="57" t="s">
        <v>495</v>
      </c>
      <c r="E22" s="58" t="s">
        <v>496</v>
      </c>
      <c r="F22" s="51" t="s">
        <v>497</v>
      </c>
      <c r="G22" s="51">
        <v>0</v>
      </c>
      <c r="H22" s="51">
        <v>0</v>
      </c>
      <c r="I22" s="59">
        <v>0</v>
      </c>
      <c r="J22" s="59">
        <v>0</v>
      </c>
      <c r="K22" s="51">
        <v>67</v>
      </c>
      <c r="L22" s="59">
        <v>0</v>
      </c>
      <c r="M22" s="51">
        <v>0</v>
      </c>
      <c r="N22" s="51">
        <v>0</v>
      </c>
      <c r="O22" s="61">
        <v>44181</v>
      </c>
    </row>
    <row r="23" spans="1:15" ht="90.75" customHeight="1" x14ac:dyDescent="0.25">
      <c r="A23" s="37"/>
      <c r="B23" s="56" t="s">
        <v>91</v>
      </c>
      <c r="C23" s="56" t="s">
        <v>269</v>
      </c>
      <c r="D23" s="57" t="s">
        <v>498</v>
      </c>
      <c r="E23" s="56">
        <v>141315707</v>
      </c>
      <c r="F23" s="56" t="s">
        <v>494</v>
      </c>
      <c r="G23" s="51">
        <v>0</v>
      </c>
      <c r="H23" s="51">
        <v>0</v>
      </c>
      <c r="I23" s="59">
        <v>0</v>
      </c>
      <c r="J23" s="59">
        <v>0</v>
      </c>
      <c r="K23" s="51">
        <v>46</v>
      </c>
      <c r="L23" s="59">
        <v>0</v>
      </c>
      <c r="M23" s="51">
        <v>0</v>
      </c>
      <c r="N23" s="51">
        <v>0</v>
      </c>
      <c r="O23" s="61">
        <v>44179</v>
      </c>
    </row>
    <row r="24" spans="1:15" ht="90.75" customHeight="1" x14ac:dyDescent="0.25">
      <c r="A24" s="37"/>
      <c r="B24" s="56" t="s">
        <v>91</v>
      </c>
      <c r="C24" s="56" t="s">
        <v>269</v>
      </c>
      <c r="D24" s="57" t="s">
        <v>499</v>
      </c>
      <c r="E24" s="65">
        <v>831351006</v>
      </c>
      <c r="F24" s="51" t="s">
        <v>500</v>
      </c>
      <c r="G24" s="51">
        <v>0</v>
      </c>
      <c r="H24" s="51">
        <v>0</v>
      </c>
      <c r="I24" s="59">
        <v>0</v>
      </c>
      <c r="J24" s="59">
        <v>0</v>
      </c>
      <c r="K24" s="51">
        <v>13</v>
      </c>
      <c r="L24" s="59">
        <v>0</v>
      </c>
      <c r="M24" s="51">
        <v>0</v>
      </c>
      <c r="N24" s="51">
        <v>0</v>
      </c>
      <c r="O24" s="61">
        <v>44175</v>
      </c>
    </row>
    <row r="25" spans="1:15" ht="90.75" customHeight="1" x14ac:dyDescent="0.25">
      <c r="A25" s="37"/>
      <c r="B25" s="56" t="s">
        <v>91</v>
      </c>
      <c r="C25" s="56" t="s">
        <v>269</v>
      </c>
      <c r="D25" s="57" t="s">
        <v>501</v>
      </c>
      <c r="E25" s="59">
        <v>146381003</v>
      </c>
      <c r="F25" s="59" t="s">
        <v>502</v>
      </c>
      <c r="G25" s="51">
        <v>0</v>
      </c>
      <c r="H25" s="51">
        <v>0</v>
      </c>
      <c r="I25" s="59">
        <v>0</v>
      </c>
      <c r="J25" s="59">
        <v>0</v>
      </c>
      <c r="K25" s="51">
        <v>23</v>
      </c>
      <c r="L25" s="56">
        <v>0</v>
      </c>
      <c r="M25" s="51">
        <v>0</v>
      </c>
      <c r="N25" s="51">
        <v>0</v>
      </c>
      <c r="O25" s="61">
        <v>44175</v>
      </c>
    </row>
    <row r="26" spans="1:15" ht="90.75" customHeight="1" x14ac:dyDescent="0.25">
      <c r="A26" s="37"/>
      <c r="B26" s="56" t="s">
        <v>91</v>
      </c>
      <c r="C26" s="56" t="s">
        <v>269</v>
      </c>
      <c r="D26" s="57" t="s">
        <v>503</v>
      </c>
      <c r="E26" s="59">
        <v>142926546</v>
      </c>
      <c r="F26" s="59" t="s">
        <v>504</v>
      </c>
      <c r="G26" s="51">
        <v>0</v>
      </c>
      <c r="H26" s="51">
        <v>0</v>
      </c>
      <c r="I26" s="59">
        <v>0</v>
      </c>
      <c r="J26" s="59">
        <v>0</v>
      </c>
      <c r="K26" s="51">
        <v>14</v>
      </c>
      <c r="L26" s="56">
        <v>0</v>
      </c>
      <c r="M26" s="51">
        <v>0</v>
      </c>
      <c r="N26" s="51">
        <v>0</v>
      </c>
      <c r="O26" s="61">
        <v>44187</v>
      </c>
    </row>
    <row r="27" spans="1:15" ht="90.75" customHeight="1" x14ac:dyDescent="0.25">
      <c r="A27" s="37"/>
      <c r="B27" s="56" t="s">
        <v>91</v>
      </c>
      <c r="C27" s="56" t="s">
        <v>269</v>
      </c>
      <c r="D27" s="57" t="s">
        <v>503</v>
      </c>
      <c r="E27" s="59">
        <v>142926547</v>
      </c>
      <c r="F27" s="59" t="s">
        <v>504</v>
      </c>
      <c r="G27" s="51">
        <v>0</v>
      </c>
      <c r="H27" s="51">
        <v>0</v>
      </c>
      <c r="I27" s="59">
        <v>0</v>
      </c>
      <c r="J27" s="59">
        <v>0</v>
      </c>
      <c r="K27" s="51">
        <v>5</v>
      </c>
      <c r="L27" s="56">
        <v>0</v>
      </c>
      <c r="M27" s="51">
        <v>0</v>
      </c>
      <c r="N27" s="51">
        <v>0</v>
      </c>
      <c r="O27" s="61">
        <v>44188</v>
      </c>
    </row>
    <row r="28" spans="1:15" ht="90.75" customHeight="1" x14ac:dyDescent="0.25">
      <c r="A28" s="37"/>
      <c r="B28" s="56" t="s">
        <v>91</v>
      </c>
      <c r="C28" s="56" t="s">
        <v>269</v>
      </c>
      <c r="D28" s="67" t="s">
        <v>505</v>
      </c>
      <c r="E28" s="56">
        <v>362027910</v>
      </c>
      <c r="F28" s="56" t="s">
        <v>506</v>
      </c>
      <c r="G28" s="51">
        <v>0</v>
      </c>
      <c r="H28" s="51">
        <v>0</v>
      </c>
      <c r="I28" s="59">
        <v>0</v>
      </c>
      <c r="J28" s="59">
        <v>0</v>
      </c>
      <c r="K28" s="51">
        <v>55</v>
      </c>
      <c r="L28" s="56">
        <v>0</v>
      </c>
      <c r="M28" s="51">
        <v>0</v>
      </c>
      <c r="N28" s="51">
        <v>0</v>
      </c>
      <c r="O28" s="61">
        <v>44168</v>
      </c>
    </row>
    <row r="29" spans="1:15" s="30" customFormat="1" ht="90.75" customHeight="1" x14ac:dyDescent="0.25">
      <c r="A29" s="38"/>
      <c r="B29" s="56" t="s">
        <v>91</v>
      </c>
      <c r="C29" s="56" t="s">
        <v>269</v>
      </c>
      <c r="D29" s="67" t="s">
        <v>507</v>
      </c>
      <c r="E29" s="68">
        <v>17368132</v>
      </c>
      <c r="F29" s="56" t="s">
        <v>506</v>
      </c>
      <c r="G29" s="51">
        <v>0</v>
      </c>
      <c r="H29" s="51">
        <v>0</v>
      </c>
      <c r="I29" s="59">
        <v>0</v>
      </c>
      <c r="J29" s="59">
        <v>0</v>
      </c>
      <c r="K29" s="51">
        <v>33</v>
      </c>
      <c r="L29" s="56">
        <v>0</v>
      </c>
      <c r="M29" s="51">
        <v>0</v>
      </c>
      <c r="N29" s="51">
        <v>0</v>
      </c>
      <c r="O29" s="61">
        <v>44168</v>
      </c>
    </row>
    <row r="30" spans="1:15" s="30" customFormat="1" ht="90.75" customHeight="1" x14ac:dyDescent="0.25">
      <c r="A30" s="38"/>
      <c r="B30" s="56" t="s">
        <v>91</v>
      </c>
      <c r="C30" s="56" t="s">
        <v>269</v>
      </c>
      <c r="D30" s="57" t="s">
        <v>508</v>
      </c>
      <c r="E30" s="65">
        <v>14996974</v>
      </c>
      <c r="F30" s="51" t="s">
        <v>509</v>
      </c>
      <c r="G30" s="51">
        <v>0</v>
      </c>
      <c r="H30" s="51">
        <v>0</v>
      </c>
      <c r="I30" s="56">
        <v>0</v>
      </c>
      <c r="J30" s="56">
        <v>0</v>
      </c>
      <c r="K30" s="51">
        <v>16</v>
      </c>
      <c r="L30" s="56">
        <v>0</v>
      </c>
      <c r="M30" s="51">
        <v>0</v>
      </c>
      <c r="N30" s="51">
        <v>0</v>
      </c>
      <c r="O30" s="61">
        <v>44194</v>
      </c>
    </row>
    <row r="31" spans="1:15" s="30" customFormat="1" ht="90.75" customHeight="1" x14ac:dyDescent="0.25">
      <c r="A31" s="38"/>
      <c r="B31" s="56" t="s">
        <v>91</v>
      </c>
      <c r="C31" s="56" t="s">
        <v>269</v>
      </c>
      <c r="D31" s="57" t="s">
        <v>510</v>
      </c>
      <c r="E31" s="69">
        <v>15833145</v>
      </c>
      <c r="F31" s="70" t="s">
        <v>453</v>
      </c>
      <c r="G31" s="51">
        <v>0</v>
      </c>
      <c r="H31" s="51">
        <v>0</v>
      </c>
      <c r="I31" s="56">
        <v>0</v>
      </c>
      <c r="J31" s="56">
        <v>0</v>
      </c>
      <c r="K31" s="51">
        <v>30</v>
      </c>
      <c r="L31" s="56">
        <v>0</v>
      </c>
      <c r="M31" s="51">
        <v>0</v>
      </c>
      <c r="N31" s="51">
        <v>0</v>
      </c>
      <c r="O31" s="61">
        <v>44193</v>
      </c>
    </row>
    <row r="32" spans="1:15" s="30" customFormat="1" ht="90.75" customHeight="1" x14ac:dyDescent="0.2">
      <c r="B32" s="56" t="s">
        <v>91</v>
      </c>
      <c r="C32" s="56" t="s">
        <v>269</v>
      </c>
      <c r="D32" s="57" t="s">
        <v>511</v>
      </c>
      <c r="E32" s="56">
        <v>141817884</v>
      </c>
      <c r="F32" s="59" t="s">
        <v>512</v>
      </c>
      <c r="G32" s="56">
        <v>0</v>
      </c>
      <c r="H32" s="56">
        <v>0</v>
      </c>
      <c r="I32" s="56">
        <v>0</v>
      </c>
      <c r="J32" s="56">
        <v>0</v>
      </c>
      <c r="K32" s="56">
        <v>50</v>
      </c>
      <c r="L32" s="56">
        <v>0</v>
      </c>
      <c r="M32" s="56">
        <v>0</v>
      </c>
      <c r="N32" s="56">
        <v>0</v>
      </c>
      <c r="O32" s="61">
        <v>44195</v>
      </c>
    </row>
    <row r="33" spans="2:16" s="30" customFormat="1" ht="90.75" customHeight="1" x14ac:dyDescent="0.2">
      <c r="B33" s="56" t="s">
        <v>91</v>
      </c>
      <c r="C33" s="56" t="s">
        <v>269</v>
      </c>
      <c r="D33" s="57" t="s">
        <v>485</v>
      </c>
      <c r="E33" s="63" t="s">
        <v>486</v>
      </c>
      <c r="F33" s="51" t="s">
        <v>487</v>
      </c>
      <c r="G33" s="51">
        <v>0</v>
      </c>
      <c r="H33" s="64">
        <v>0</v>
      </c>
      <c r="I33" s="59">
        <v>0</v>
      </c>
      <c r="J33" s="59">
        <v>0</v>
      </c>
      <c r="K33" s="54">
        <v>20</v>
      </c>
      <c r="L33" s="54">
        <v>0</v>
      </c>
      <c r="M33" s="54">
        <v>0</v>
      </c>
      <c r="N33" s="54">
        <v>0</v>
      </c>
      <c r="O33" s="61">
        <v>44194</v>
      </c>
    </row>
    <row r="34" spans="2:16" s="30" customFormat="1" ht="90.75" customHeight="1" x14ac:dyDescent="0.2">
      <c r="B34" s="56" t="s">
        <v>91</v>
      </c>
      <c r="C34" s="56" t="s">
        <v>269</v>
      </c>
      <c r="D34" s="57" t="s">
        <v>513</v>
      </c>
      <c r="E34" s="51">
        <v>16262609</v>
      </c>
      <c r="F34" s="51" t="s">
        <v>514</v>
      </c>
      <c r="G34" s="51">
        <v>0</v>
      </c>
      <c r="H34" s="64">
        <v>0</v>
      </c>
      <c r="I34" s="59">
        <v>0</v>
      </c>
      <c r="J34" s="59">
        <v>0</v>
      </c>
      <c r="K34" s="71">
        <v>27</v>
      </c>
      <c r="L34" s="54">
        <v>0</v>
      </c>
      <c r="M34" s="54">
        <v>0</v>
      </c>
      <c r="N34" s="54">
        <v>0</v>
      </c>
      <c r="O34" s="61">
        <v>44195</v>
      </c>
    </row>
    <row r="35" spans="2:16" s="30" customFormat="1" ht="90.75" customHeight="1" x14ac:dyDescent="0.2">
      <c r="B35" s="56" t="s">
        <v>91</v>
      </c>
      <c r="C35" s="56" t="s">
        <v>269</v>
      </c>
      <c r="D35" s="57" t="s">
        <v>515</v>
      </c>
      <c r="E35" s="72" t="s">
        <v>516</v>
      </c>
      <c r="F35" s="51" t="s">
        <v>517</v>
      </c>
      <c r="G35" s="51">
        <v>0</v>
      </c>
      <c r="H35" s="64">
        <v>0</v>
      </c>
      <c r="I35" s="59">
        <v>0</v>
      </c>
      <c r="J35" s="59">
        <v>0</v>
      </c>
      <c r="K35" s="54">
        <v>11</v>
      </c>
      <c r="L35" s="54">
        <v>0</v>
      </c>
      <c r="M35" s="54">
        <v>0</v>
      </c>
      <c r="N35" s="54">
        <v>0</v>
      </c>
      <c r="O35" s="61">
        <v>44195</v>
      </c>
    </row>
    <row r="36" spans="2:16" s="30" customFormat="1" ht="90.75" customHeight="1" x14ac:dyDescent="0.2">
      <c r="B36" s="56" t="s">
        <v>91</v>
      </c>
      <c r="C36" s="56" t="s">
        <v>269</v>
      </c>
      <c r="D36" s="73" t="s">
        <v>518</v>
      </c>
      <c r="E36" s="74">
        <v>16298263</v>
      </c>
      <c r="F36" s="74" t="s">
        <v>453</v>
      </c>
      <c r="G36" s="74">
        <v>0</v>
      </c>
      <c r="H36" s="74">
        <v>0</v>
      </c>
      <c r="I36" s="74">
        <v>0</v>
      </c>
      <c r="J36" s="74">
        <v>0</v>
      </c>
      <c r="K36" s="74">
        <v>7</v>
      </c>
      <c r="L36" s="74">
        <v>0</v>
      </c>
      <c r="M36" s="74">
        <v>0</v>
      </c>
      <c r="N36" s="74">
        <v>0</v>
      </c>
      <c r="O36" s="61">
        <v>44174</v>
      </c>
    </row>
    <row r="37" spans="2:16" s="30" customFormat="1" ht="90.75" customHeight="1" x14ac:dyDescent="0.2">
      <c r="B37" s="56" t="s">
        <v>91</v>
      </c>
      <c r="C37" s="56" t="s">
        <v>269</v>
      </c>
      <c r="D37" s="57" t="s">
        <v>519</v>
      </c>
      <c r="E37" s="63" t="s">
        <v>520</v>
      </c>
      <c r="F37" s="56" t="s">
        <v>521</v>
      </c>
      <c r="G37" s="74">
        <v>0</v>
      </c>
      <c r="H37" s="74">
        <v>0</v>
      </c>
      <c r="I37" s="74">
        <v>0</v>
      </c>
      <c r="J37" s="74">
        <v>0</v>
      </c>
      <c r="K37" s="56">
        <v>13</v>
      </c>
      <c r="L37" s="74">
        <v>0</v>
      </c>
      <c r="M37" s="74">
        <v>0</v>
      </c>
      <c r="N37" s="74">
        <v>0</v>
      </c>
      <c r="O37" s="61">
        <v>44200</v>
      </c>
    </row>
    <row r="38" spans="2:16" s="30" customFormat="1" ht="90.75" customHeight="1" x14ac:dyDescent="0.2">
      <c r="B38" s="56" t="s">
        <v>91</v>
      </c>
      <c r="C38" s="56" t="s">
        <v>269</v>
      </c>
      <c r="D38" s="57" t="s">
        <v>522</v>
      </c>
      <c r="E38" s="56">
        <v>364242050</v>
      </c>
      <c r="F38" s="56" t="s">
        <v>523</v>
      </c>
      <c r="G38" s="74">
        <v>0</v>
      </c>
      <c r="H38" s="74">
        <v>0</v>
      </c>
      <c r="I38" s="74">
        <v>0</v>
      </c>
      <c r="J38" s="74">
        <v>0</v>
      </c>
      <c r="K38" s="56">
        <v>50</v>
      </c>
      <c r="L38" s="74">
        <v>0</v>
      </c>
      <c r="M38" s="74">
        <v>0</v>
      </c>
      <c r="N38" s="74">
        <v>0</v>
      </c>
      <c r="O38" s="61">
        <v>44200</v>
      </c>
    </row>
    <row r="39" spans="2:16" s="30" customFormat="1" ht="90.75" customHeight="1" x14ac:dyDescent="0.2">
      <c r="B39" s="56" t="s">
        <v>91</v>
      </c>
      <c r="C39" s="56" t="s">
        <v>269</v>
      </c>
      <c r="D39" s="57" t="s">
        <v>524</v>
      </c>
      <c r="E39" s="56">
        <v>146157665</v>
      </c>
      <c r="F39" s="56" t="s">
        <v>487</v>
      </c>
      <c r="G39" s="74">
        <v>0</v>
      </c>
      <c r="H39" s="74">
        <v>0</v>
      </c>
      <c r="I39" s="74">
        <v>0</v>
      </c>
      <c r="J39" s="74">
        <v>0</v>
      </c>
      <c r="K39" s="74">
        <v>18</v>
      </c>
      <c r="L39" s="74">
        <v>0</v>
      </c>
      <c r="M39" s="74">
        <v>0</v>
      </c>
      <c r="N39" s="74">
        <v>0</v>
      </c>
      <c r="O39" s="61">
        <v>44200</v>
      </c>
    </row>
    <row r="40" spans="2:16" s="30" customFormat="1" ht="90.75" customHeight="1" x14ac:dyDescent="0.2">
      <c r="B40" s="56" t="s">
        <v>91</v>
      </c>
      <c r="C40" s="56" t="s">
        <v>269</v>
      </c>
      <c r="D40" s="57" t="s">
        <v>525</v>
      </c>
      <c r="E40" s="56" t="s">
        <v>526</v>
      </c>
      <c r="F40" s="56" t="s">
        <v>517</v>
      </c>
      <c r="G40" s="74">
        <v>0</v>
      </c>
      <c r="H40" s="74">
        <v>0</v>
      </c>
      <c r="I40" s="74">
        <v>0</v>
      </c>
      <c r="J40" s="74">
        <v>0</v>
      </c>
      <c r="K40" s="74">
        <v>34</v>
      </c>
      <c r="L40" s="74">
        <v>0</v>
      </c>
      <c r="M40" s="74">
        <v>0</v>
      </c>
      <c r="N40" s="74">
        <v>0</v>
      </c>
      <c r="O40" s="61">
        <v>44201</v>
      </c>
    </row>
    <row r="41" spans="2:16" ht="90.75" customHeight="1" x14ac:dyDescent="0.2">
      <c r="B41" s="56" t="s">
        <v>91</v>
      </c>
      <c r="C41" s="56" t="s">
        <v>269</v>
      </c>
      <c r="D41" s="57" t="s">
        <v>527</v>
      </c>
      <c r="E41" s="56" t="s">
        <v>528</v>
      </c>
      <c r="F41" s="56" t="s">
        <v>529</v>
      </c>
      <c r="G41" s="74">
        <v>0</v>
      </c>
      <c r="H41" s="74">
        <v>0</v>
      </c>
      <c r="I41" s="74">
        <v>0</v>
      </c>
      <c r="J41" s="74">
        <v>0</v>
      </c>
      <c r="K41" s="74">
        <v>13</v>
      </c>
      <c r="L41" s="74">
        <v>0</v>
      </c>
      <c r="M41" s="74">
        <v>0</v>
      </c>
      <c r="N41" s="74">
        <v>0</v>
      </c>
      <c r="O41" s="61">
        <v>44201</v>
      </c>
      <c r="P41" s="30"/>
    </row>
    <row r="42" spans="2:16" ht="90.75" customHeight="1" x14ac:dyDescent="0.2">
      <c r="B42" s="56" t="s">
        <v>91</v>
      </c>
      <c r="C42" s="56" t="s">
        <v>269</v>
      </c>
      <c r="D42" s="57" t="s">
        <v>530</v>
      </c>
      <c r="E42" s="56" t="s">
        <v>531</v>
      </c>
      <c r="F42" s="56" t="s">
        <v>532</v>
      </c>
      <c r="G42" s="74">
        <v>0</v>
      </c>
      <c r="H42" s="74">
        <v>0</v>
      </c>
      <c r="I42" s="74">
        <v>0</v>
      </c>
      <c r="J42" s="74">
        <v>0</v>
      </c>
      <c r="K42" s="74">
        <v>50</v>
      </c>
      <c r="L42" s="74">
        <v>0</v>
      </c>
      <c r="M42" s="74">
        <v>0</v>
      </c>
      <c r="N42" s="74">
        <v>0</v>
      </c>
      <c r="O42" s="61">
        <v>44201</v>
      </c>
      <c r="P42" s="30"/>
    </row>
    <row r="43" spans="2:16" ht="90.75" customHeight="1" x14ac:dyDescent="0.2">
      <c r="B43" s="56" t="s">
        <v>91</v>
      </c>
      <c r="C43" s="56" t="s">
        <v>269</v>
      </c>
      <c r="D43" s="57" t="s">
        <v>533</v>
      </c>
      <c r="E43" s="63" t="s">
        <v>534</v>
      </c>
      <c r="F43" s="56" t="s">
        <v>535</v>
      </c>
      <c r="G43" s="74">
        <v>0</v>
      </c>
      <c r="H43" s="74">
        <v>0</v>
      </c>
      <c r="I43" s="74">
        <v>0</v>
      </c>
      <c r="J43" s="74">
        <v>0</v>
      </c>
      <c r="K43" s="74">
        <v>7</v>
      </c>
      <c r="L43" s="74">
        <v>0</v>
      </c>
      <c r="M43" s="74">
        <v>0</v>
      </c>
      <c r="N43" s="74">
        <v>0</v>
      </c>
      <c r="O43" s="61">
        <v>44558</v>
      </c>
      <c r="P43" s="30"/>
    </row>
    <row r="44" spans="2:16" ht="90.75" customHeight="1" x14ac:dyDescent="0.2">
      <c r="G44" s="34">
        <f>SUM(G8:G43)</f>
        <v>2286</v>
      </c>
      <c r="H44" s="34">
        <f t="shared" ref="H44:J44" si="0">SUM(H8:H43)</f>
        <v>0</v>
      </c>
      <c r="I44" s="34">
        <f t="shared" si="0"/>
        <v>0</v>
      </c>
      <c r="J44" s="34">
        <f t="shared" si="0"/>
        <v>0</v>
      </c>
      <c r="K44" s="34">
        <f>SUM(K8:K43)</f>
        <v>753</v>
      </c>
      <c r="L44" s="34">
        <f>SUM(L8:L43)</f>
        <v>920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9 E21 E29 L19:L25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 x14ac:dyDescent="0.2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 x14ac:dyDescent="0.2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 x14ac:dyDescent="0.2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 x14ac:dyDescent="0.2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 x14ac:dyDescent="0.2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 x14ac:dyDescent="0.2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 x14ac:dyDescent="0.2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 x14ac:dyDescent="0.2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 x14ac:dyDescent="0.2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 x14ac:dyDescent="0.2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 x14ac:dyDescent="0.2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 x14ac:dyDescent="0.2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 x14ac:dyDescent="0.2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 x14ac:dyDescent="0.2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 x14ac:dyDescent="0.2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 x14ac:dyDescent="0.2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 x14ac:dyDescent="0.2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 x14ac:dyDescent="0.2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 x14ac:dyDescent="0.2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 x14ac:dyDescent="0.2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 x14ac:dyDescent="0.2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 x14ac:dyDescent="0.2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 x14ac:dyDescent="0.2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 x14ac:dyDescent="0.2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 x14ac:dyDescent="0.2">
      <c r="A27" s="10" t="s">
        <v>322</v>
      </c>
      <c r="G27" t="s">
        <v>76</v>
      </c>
      <c r="L27" s="10" t="s">
        <v>395</v>
      </c>
      <c r="O27" t="s">
        <v>235</v>
      </c>
    </row>
    <row r="28" spans="1:21" x14ac:dyDescent="0.2">
      <c r="A28" s="10" t="s">
        <v>323</v>
      </c>
      <c r="G28" t="s">
        <v>77</v>
      </c>
      <c r="L28" s="10" t="s">
        <v>396</v>
      </c>
      <c r="O28" s="10" t="s">
        <v>236</v>
      </c>
    </row>
    <row r="29" spans="1:21" x14ac:dyDescent="0.2">
      <c r="A29" s="10" t="s">
        <v>324</v>
      </c>
      <c r="G29" t="s">
        <v>78</v>
      </c>
      <c r="L29" s="10" t="s">
        <v>397</v>
      </c>
      <c r="O29" t="s">
        <v>237</v>
      </c>
    </row>
    <row r="30" spans="1:21" x14ac:dyDescent="0.2">
      <c r="A30" s="10" t="s">
        <v>325</v>
      </c>
      <c r="G30" t="s">
        <v>79</v>
      </c>
      <c r="L30" s="10" t="s">
        <v>398</v>
      </c>
      <c r="O30" t="s">
        <v>238</v>
      </c>
    </row>
    <row r="31" spans="1:21" x14ac:dyDescent="0.2">
      <c r="A31" s="10" t="s">
        <v>326</v>
      </c>
      <c r="G31" t="s">
        <v>80</v>
      </c>
      <c r="L31" s="10" t="s">
        <v>399</v>
      </c>
      <c r="O31" s="10" t="s">
        <v>239</v>
      </c>
    </row>
    <row r="32" spans="1:21" x14ac:dyDescent="0.2">
      <c r="G32" s="10" t="s">
        <v>92</v>
      </c>
      <c r="L32" s="10" t="s">
        <v>400</v>
      </c>
      <c r="O32" s="10" t="s">
        <v>240</v>
      </c>
    </row>
    <row r="33" spans="7:15" x14ac:dyDescent="0.2">
      <c r="G33" t="s">
        <v>81</v>
      </c>
      <c r="L33" s="10" t="s">
        <v>401</v>
      </c>
      <c r="O33" s="10" t="s">
        <v>412</v>
      </c>
    </row>
    <row r="34" spans="7:15" x14ac:dyDescent="0.2">
      <c r="G34" t="s">
        <v>82</v>
      </c>
      <c r="L34" s="10" t="s">
        <v>402</v>
      </c>
      <c r="O34" s="10" t="s">
        <v>411</v>
      </c>
    </row>
    <row r="35" spans="7:15" x14ac:dyDescent="0.2">
      <c r="G35" t="s">
        <v>83</v>
      </c>
      <c r="L35" s="10" t="s">
        <v>403</v>
      </c>
      <c r="O35" s="10" t="s">
        <v>409</v>
      </c>
    </row>
    <row r="36" spans="7:15" x14ac:dyDescent="0.2">
      <c r="G36" t="s">
        <v>84</v>
      </c>
      <c r="L36" s="10" t="s">
        <v>404</v>
      </c>
      <c r="O36" s="10" t="s">
        <v>410</v>
      </c>
    </row>
    <row r="37" spans="7:15" x14ac:dyDescent="0.2">
      <c r="G37" t="s">
        <v>85</v>
      </c>
      <c r="L37" s="10" t="s">
        <v>405</v>
      </c>
    </row>
    <row r="38" spans="7:15" x14ac:dyDescent="0.2">
      <c r="G38" t="s">
        <v>86</v>
      </c>
    </row>
    <row r="39" spans="7:15" x14ac:dyDescent="0.2">
      <c r="G39" t="s">
        <v>87</v>
      </c>
    </row>
    <row r="40" spans="7:15" x14ac:dyDescent="0.2">
      <c r="G40" t="s">
        <v>88</v>
      </c>
    </row>
    <row r="41" spans="7:15" x14ac:dyDescent="0.2">
      <c r="G41" t="s">
        <v>89</v>
      </c>
    </row>
    <row r="42" spans="7:15" x14ac:dyDescent="0.2">
      <c r="G42" t="s">
        <v>90</v>
      </c>
    </row>
    <row r="43" spans="7:15" x14ac:dyDescent="0.2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2021-03-31T13:00:49Z</dcterms:modified>
</cp:coreProperties>
</file>
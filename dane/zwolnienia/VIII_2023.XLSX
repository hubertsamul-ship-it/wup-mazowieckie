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3\"/>
    </mc:Choice>
  </mc:AlternateContent>
  <xr:revisionPtr revIDLastSave="0" documentId="13_ncr:1_{58DBD0E5-C095-443E-8875-56687EA87DD9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dane!$A$1:$O$18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" i="5" l="1"/>
  <c r="G19" i="5"/>
  <c r="E2" i="5"/>
  <c r="D2" i="5"/>
  <c r="C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Magdalena Fic</author>
  </authors>
  <commentList>
    <comment ref="I12" authorId="0" shapeId="0" xr:uid="{0C78A2B6-AAA1-4438-9045-D17D91C2723B}">
      <text>
        <r>
          <rPr>
            <b/>
            <sz val="9"/>
            <color indexed="81"/>
            <rFont val="Tahoma"/>
            <family val="2"/>
            <charset val="238"/>
          </rPr>
          <t>Magdalena Fic:</t>
        </r>
        <r>
          <rPr>
            <sz val="9"/>
            <color indexed="81"/>
            <rFont val="Tahoma"/>
            <family val="2"/>
            <charset val="238"/>
          </rPr>
          <t xml:space="preserve">
Pracodawca zgłosił informację, że zwolnienia grupowe obejmą jedną osobę z Warszawy. Główne zawodomienie o planowanych zwolnieniach grupowych zostao wysłane do Powiatowego Urzędu Pracy w Elblągu. </t>
        </r>
      </text>
    </comment>
  </commentList>
</comments>
</file>

<file path=xl/sharedStrings.xml><?xml version="1.0" encoding="utf-8"?>
<sst xmlns="http://schemas.openxmlformats.org/spreadsheetml/2006/main" count="517" uniqueCount="487">
  <si>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</si>
  <si>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</si>
  <si>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</si>
  <si>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</si>
  <si>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</si>
  <si>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</si>
  <si>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</si>
  <si>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</si>
  <si>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</si>
  <si>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</si>
  <si>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</si>
  <si>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</si>
  <si>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</si>
  <si>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</si>
  <si>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</si>
  <si>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</si>
  <si>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</si>
  <si>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</si>
  <si>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</si>
  <si>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</si>
  <si>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</si>
  <si>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</si>
  <si>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</si>
  <si>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</si>
  <si>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</si>
  <si>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</si>
  <si>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</si>
  <si>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</si>
  <si>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</si>
  <si>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</si>
  <si>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</si>
  <si>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</si>
  <si>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</si>
  <si>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</si>
  <si>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</si>
  <si>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</si>
  <si>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</si>
  <si>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</si>
  <si>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</si>
  <si>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</si>
  <si>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</si>
  <si>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</si>
  <si>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</si>
  <si>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</si>
  <si>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</si>
  <si>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</si>
  <si>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</si>
  <si>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</si>
  <si>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</si>
  <si>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</si>
  <si>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</si>
  <si>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</si>
  <si>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</si>
  <si>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</si>
  <si>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</si>
  <si>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</si>
  <si>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</si>
  <si>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</si>
  <si>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</si>
  <si>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</si>
  <si>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</si>
  <si>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</si>
  <si>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</si>
  <si>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</si>
  <si>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</si>
  <si>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</si>
  <si>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</si>
  <si>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</si>
  <si>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</si>
  <si>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</si>
  <si>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</si>
  <si>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</si>
  <si>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</si>
  <si>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</si>
  <si>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</si>
  <si>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</si>
  <si>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</si>
  <si>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</si>
  <si>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</si>
  <si>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</si>
  <si>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</si>
  <si>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</si>
  <si>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</si>
  <si>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</si>
  <si>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</si>
  <si>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</si>
  <si>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</si>
  <si>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</si>
  <si>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</si>
  <si>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</si>
  <si>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</si>
  <si>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</si>
  <si>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</si>
  <si>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</si>
  <si>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</si>
  <si>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</si>
  <si>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</si>
  <si>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</si>
  <si>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</si>
  <si>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</si>
  <si>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</si>
  <si>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</si>
  <si>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</si>
  <si>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</si>
  <si>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</si>
  <si>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</si>
  <si>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</si>
  <si>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</si>
  <si>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</si>
  <si>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</si>
  <si>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</si>
  <si>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</si>
  <si>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</si>
  <si>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</si>
  <si>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</si>
  <si>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</si>
  <si>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</si>
  <si>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</si>
  <si>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</si>
  <si>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</si>
  <si>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</si>
  <si>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</si>
  <si>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</si>
  <si>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</si>
  <si>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</si>
  <si>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</si>
  <si>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</si>
  <si>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</si>
  <si>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</si>
  <si>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</si>
  <si>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</si>
  <si>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</si>
  <si>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</si>
  <si>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</si>
  <si>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</si>
  <si>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</si>
  <si>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</si>
  <si>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</si>
  <si>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</si>
  <si>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</si>
  <si>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</si>
  <si>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</si>
  <si>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</si>
  <si>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</si>
  <si>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</si>
  <si>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</si>
  <si>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</si>
  <si>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</si>
  <si>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</si>
  <si>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</si>
  <si>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</si>
  <si>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</si>
  <si>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</si>
  <si>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</si>
  <si>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</si>
  <si>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</si>
  <si>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</si>
  <si>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</si>
  <si>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</si>
  <si>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</si>
  <si>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</si>
  <si>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</si>
  <si>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</si>
  <si>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</si>
  <si>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</si>
  <si>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</si>
  <si>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</si>
  <si>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</si>
  <si>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</si>
  <si>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</si>
  <si>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</si>
  <si>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</si>
  <si>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</si>
  <si>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</si>
  <si>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</si>
  <si>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</si>
  <si>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</si>
  <si>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</si>
  <si>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</si>
  <si>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</si>
  <si>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</si>
  <si>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</si>
  <si>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</si>
  <si>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</si>
  <si>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</si>
  <si>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</si>
  <si>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</si>
  <si>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</si>
  <si>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</si>
  <si>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</si>
  <si>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</si>
  <si>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</si>
  <si>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</si>
  <si>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</si>
  <si>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</si>
  <si>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</si>
  <si>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</si>
  <si>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</si>
  <si>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</si>
  <si>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</si>
  <si>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</si>
  <si>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</si>
  <si>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</si>
  <si>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</si>
  <si>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</si>
  <si>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</si>
  <si>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</si>
  <si>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</si>
  <si>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</si>
  <si>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</si>
  <si>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</si>
  <si>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</si>
  <si>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</si>
  <si>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</si>
  <si>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</si>
  <si>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</si>
  <si>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</si>
  <si>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</si>
  <si>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</si>
  <si>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</si>
  <si>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</si>
  <si>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</si>
  <si>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</si>
  <si>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</si>
  <si>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</si>
  <si>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</si>
  <si>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</si>
  <si>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</si>
  <si>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</si>
  <si>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</si>
  <si>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</si>
  <si>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</si>
  <si>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</si>
  <si>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</si>
  <si>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</si>
  <si>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</si>
  <si>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</si>
  <si>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</si>
  <si>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</si>
  <si>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</si>
  <si>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</si>
  <si>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</si>
  <si>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</si>
  <si>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</si>
  <si>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</si>
  <si>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</si>
  <si>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</si>
  <si>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</si>
  <si>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</si>
  <si>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</si>
  <si>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</si>
  <si>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</si>
  <si>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</si>
  <si>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</si>
  <si>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</si>
  <si>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</si>
  <si>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</si>
  <si>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</si>
  <si>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</si>
  <si>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</si>
  <si>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</si>
  <si>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</si>
  <si>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</si>
  <si>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</si>
  <si>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</si>
  <si>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</si>
  <si>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</si>
  <si>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</si>
  <si>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</si>
  <si>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</si>
  <si>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</si>
  <si>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</si>
  <si>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</si>
  <si>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</si>
  <si>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</si>
  <si>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</si>
  <si>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</si>
  <si>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</si>
  <si>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</si>
  <si>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</si>
  <si>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</si>
  <si>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</si>
  <si>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</si>
  <si>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</si>
  <si>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</si>
  <si>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</si>
  <si>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</si>
  <si>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</si>
  <si>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</si>
  <si>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</si>
  <si>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</si>
  <si>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</si>
  <si>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</si>
  <si>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</si>
  <si>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</si>
  <si>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</si>
  <si>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</si>
  <si>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</si>
  <si>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</si>
  <si>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</si>
  <si>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</si>
  <si>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</si>
  <si>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</si>
  <si>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</si>
  <si>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</si>
  <si>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</si>
  <si>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</si>
  <si>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</si>
  <si>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</si>
  <si>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</si>
  <si>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</si>
  <si>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</si>
  <si>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</si>
  <si>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</si>
  <si>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</si>
  <si>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</si>
  <si>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</si>
  <si>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</si>
  <si>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</si>
  <si>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</si>
  <si>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</si>
  <si>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</si>
  <si>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</si>
  <si>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</si>
  <si>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</si>
  <si>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</si>
  <si>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</si>
  <si>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</si>
  <si>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</si>
  <si>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</si>
  <si>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</si>
  <si>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</si>
  <si>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</si>
  <si>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</si>
  <si>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</si>
  <si>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</si>
  <si>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</si>
  <si>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</si>
  <si>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</si>
  <si>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</si>
  <si>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</si>
  <si>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</si>
  <si>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</si>
  <si>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</si>
  <si>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</si>
  <si>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</si>
  <si>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</si>
  <si>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</si>
  <si>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</si>
  <si>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</si>
  <si>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</si>
  <si>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</si>
  <si>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</si>
  <si>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</si>
  <si>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</si>
  <si>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</si>
  <si>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</si>
  <si>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</si>
  <si>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</si>
  <si>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</si>
  <si>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</si>
  <si>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</si>
  <si>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</si>
  <si>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</si>
  <si>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</si>
  <si>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</si>
  <si>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</si>
  <si>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</si>
  <si>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</si>
  <si>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</si>
  <si>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</si>
  <si>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</si>
  <si>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</si>
  <si>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</si>
  <si>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</si>
  <si>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</si>
  <si>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</si>
  <si>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</si>
  <si>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</si>
  <si>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</si>
  <si>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</si>
  <si>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</si>
  <si>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</si>
  <si>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</si>
  <si>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</si>
  <si>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</si>
  <si>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</si>
  <si>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</si>
  <si>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</si>
  <si>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</si>
  <si>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</si>
  <si>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</si>
  <si>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</si>
  <si>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</si>
  <si>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</si>
  <si>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</si>
  <si>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</si>
  <si>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</si>
  <si>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</si>
  <si>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</si>
  <si>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</si>
  <si>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</si>
  <si>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</si>
  <si>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</si>
  <si>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</si>
  <si>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</si>
  <si>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</si>
  <si>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</si>
  <si>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</si>
  <si>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</si>
  <si>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</si>
  <si>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</si>
  <si>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</si>
  <si>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</si>
  <si>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</si>
  <si>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</si>
  <si>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</si>
  <si>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</si>
  <si>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</si>
  <si>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</si>
  <si>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</si>
  <si>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</si>
  <si>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</si>
  <si>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</si>
  <si>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</si>
  <si>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</si>
  <si>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</si>
  <si>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</si>
  <si>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</si>
  <si>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</si>
  <si>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</si>
  <si>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</si>
  <si>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</si>
  <si>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</si>
  <si>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</si>
  <si>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</si>
  <si>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</si>
  <si>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</si>
  <si>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</si>
  <si>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</si>
  <si>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</si>
  <si>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</si>
  <si>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</si>
  <si>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</si>
  <si>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</si>
  <si>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</si>
  <si>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</si>
  <si>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</si>
  <si>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</si>
  <si>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</si>
  <si>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</si>
  <si>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</si>
  <si>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Hubert Samul</t>
  </si>
  <si>
    <t>h.samul@wup.mazowsze.pl</t>
  </si>
  <si>
    <t>nie</t>
  </si>
  <si>
    <t>48 22 578 44 17</t>
  </si>
  <si>
    <t>tak</t>
  </si>
  <si>
    <t xml:space="preserve">BNP Paribas Bank Polska S.A.                            ul. M. Kasprzaka  10/16                                              01-211 Warszawa </t>
  </si>
  <si>
    <t>6419Z</t>
  </si>
  <si>
    <t>Groupon Shared Services Poland                           Sp. z o.o.                                                                  Al. Jerozlimskie 123A                                 02-017 Warszawa</t>
  </si>
  <si>
    <t>302862618</t>
  </si>
  <si>
    <t>4791Z</t>
  </si>
  <si>
    <t>Stora Enso Poland S.A.</t>
  </si>
  <si>
    <t>17.12.Z</t>
  </si>
  <si>
    <t>06.07.2023r.</t>
  </si>
  <si>
    <t>H&amp;M Hennes &amp; Mauritz  Sp. z o.o.                              Al. Jerozolimskie 44                                                                00-024 Warszawa</t>
  </si>
  <si>
    <t>015292063</t>
  </si>
  <si>
    <t>4771Z</t>
  </si>
  <si>
    <t>3M Poland Manufacturing Sp. z o.o. - Oddział w Janinowie</t>
  </si>
  <si>
    <t>3299Z</t>
  </si>
  <si>
    <t>TAK</t>
  </si>
  <si>
    <t>do XII.2023r.</t>
  </si>
  <si>
    <t>NIS SPÓŁKA Z OGRANICZONĄ ODPOWIEDZIALNOŚCIĄ SPÓŁKA KOMANDYTOWA.                                              ul. Pilchowicka 14                                                     02-175 Warszawa</t>
  </si>
  <si>
    <t>6110Z</t>
  </si>
  <si>
    <t>08-12.2023 r.</t>
  </si>
  <si>
    <t>H+H Polska Sp. z o.o.                                ul. Kupiecka  6                                           03-046 Warszawa</t>
  </si>
  <si>
    <t>140101184</t>
  </si>
  <si>
    <t>2361Z</t>
  </si>
  <si>
    <t>STTAS Europe Sp. z o.o.                             ul. Żwirki i Wigury 18                                           02-092 Warszawa</t>
  </si>
  <si>
    <t>7022Z</t>
  </si>
  <si>
    <t>Henkel Polska Sp. z o.o.                                                                                 ul. Domaniewska 41                                                                                                        02-672 Warszawa</t>
  </si>
  <si>
    <t>4675Z</t>
  </si>
  <si>
    <t xml:space="preserve">Burda Media Polska Sp. z o.o.                                          ul. Marynarska 15                                         02-674 Warszawa </t>
  </si>
  <si>
    <t>142656905</t>
  </si>
  <si>
    <t>6311Z</t>
  </si>
  <si>
    <t>Xella Polska Sp.z o.o.                                           ul.Komietetu Obrony Robotników 48                                           02-146 Warszawa</t>
  </si>
  <si>
    <t>141349443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</si>
</sst>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5]General"/>
  </numFmts>
  <fonts count="23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u/>
      <sz val="10"/>
      <color theme="10"/>
      <name val="Arial"/>
      <charset val="238"/>
    </font>
    <font>
      <sz val="11"/>
      <name val="Calibri"/>
      <family val="2"/>
      <charset val="238"/>
    </font>
    <font>
      <sz val="10"/>
      <name val="Arial"/>
      <charset val="238"/>
    </font>
    <font>
      <sz val="11"/>
      <color rgb="FF4D5156"/>
      <name val="Arial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7" fillId="0" borderId="0" applyNumberFormat="0" applyFill="0" applyBorder="0" applyAlignment="0" applyProtection="0"/>
    <xf numFmtId="43" fontId="19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11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14" fontId="6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wrapText="1"/>
    </xf>
    <xf numFmtId="0" fontId="0" fillId="0" borderId="0" xfId="0" applyBorder="1" applyAlignment="1">
      <alignment horizontal="left" vertical="center"/>
    </xf>
    <xf numFmtId="0" fontId="18" fillId="0" borderId="0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2" fillId="0" borderId="1" xfId="1" applyBorder="1" applyAlignment="1">
      <alignment horizontal="left" vertical="center" wrapText="1"/>
    </xf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14" fontId="0" fillId="0" borderId="1" xfId="0" applyNumberFormat="1" applyBorder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 shrinkToFit="1"/>
    </xf>
    <xf numFmtId="49" fontId="2" fillId="0" borderId="1" xfId="1" applyNumberFormat="1" applyBorder="1" applyAlignment="1">
      <alignment horizontal="center" vertical="center"/>
    </xf>
    <xf numFmtId="14" fontId="2" fillId="0" borderId="1" xfId="1" applyNumberFormat="1" applyBorder="1" applyAlignment="1">
      <alignment horizontal="center" vertical="center" wrapText="1"/>
    </xf>
    <xf numFmtId="0" fontId="2" fillId="0" borderId="0" xfId="1"/>
    <xf numFmtId="0" fontId="2" fillId="0" borderId="1" xfId="1" applyFont="1" applyBorder="1"/>
    <xf numFmtId="0" fontId="2" fillId="0" borderId="1" xfId="1" applyBorder="1" applyAlignment="1">
      <alignment horizontal="left"/>
    </xf>
    <xf numFmtId="0" fontId="2" fillId="0" borderId="2" xfId="1" applyBorder="1" applyAlignment="1">
      <alignment horizontal="center"/>
    </xf>
    <xf numFmtId="14" fontId="2" fillId="0" borderId="1" xfId="1" applyNumberFormat="1" applyBorder="1"/>
    <xf numFmtId="1" fontId="2" fillId="0" borderId="2" xfId="1" applyNumberFormat="1" applyBorder="1" applyAlignment="1">
      <alignment horizontal="center"/>
    </xf>
    <xf numFmtId="0" fontId="2" fillId="0" borderId="1" xfId="1" applyFont="1" applyBorder="1" applyAlignment="1">
      <alignment wrapText="1"/>
    </xf>
    <xf numFmtId="12" fontId="2" fillId="0" borderId="1" xfId="1" applyNumberFormat="1" applyFont="1" applyBorder="1" applyAlignment="1">
      <alignment horizontal="center"/>
    </xf>
    <xf numFmtId="14" fontId="2" fillId="0" borderId="2" xfId="1" applyNumberFormat="1" applyFont="1" applyBorder="1" applyAlignment="1">
      <alignment horizontal="center" wrapText="1"/>
    </xf>
    <xf numFmtId="0" fontId="2" fillId="0" borderId="2" xfId="1" applyFont="1" applyBorder="1" applyAlignment="1">
      <alignment horizontal="center"/>
    </xf>
    <xf numFmtId="12" fontId="2" fillId="0" borderId="1" xfId="1" applyNumberFormat="1" applyFont="1" applyBorder="1" applyAlignment="1">
      <alignment horizontal="left"/>
    </xf>
    <xf numFmtId="12" fontId="2" fillId="0" borderId="2" xfId="7" applyNumberFormat="1" applyFont="1" applyBorder="1" applyAlignment="1">
      <alignment horizontal="center"/>
    </xf>
    <xf numFmtId="0" fontId="2" fillId="0" borderId="2" xfId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2" fillId="0" borderId="2" xfId="1" applyBorder="1" applyAlignment="1">
      <alignment horizontal="center" vertical="center" wrapText="1"/>
    </xf>
    <xf numFmtId="0" fontId="2" fillId="0" borderId="1" xfId="1" applyBorder="1" applyAlignment="1">
      <alignment horizontal="left" wrapText="1"/>
    </xf>
    <xf numFmtId="0" fontId="20" fillId="0" borderId="1" xfId="1" applyFont="1" applyBorder="1"/>
    <xf numFmtId="0" fontId="2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1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</cellXfs>
  <cellStyles count="8">
    <cellStyle name="Dziesiętny 2" xfId="6" xr:uid="{95F2F834-C8AF-4CFA-9632-7EC5FFBFCA5F}"/>
    <cellStyle name="Dziesiętny 3" xfId="7" xr:uid="{7D479643-D454-49EC-94B9-070247605B79}"/>
    <cellStyle name="Excel Built-in Normal" xfId="4" xr:uid="{00000000-0005-0000-0000-000000000000}"/>
    <cellStyle name="Hiperłącze" xfId="2" builtinId="8"/>
    <cellStyle name="Hiperłącze 2" xfId="3" xr:uid="{00000000-0005-0000-0000-000002000000}"/>
    <cellStyle name="Hiperłącze 3" xfId="5" xr:uid="{4C6CD572-F96E-416C-95D9-16F1550FE079}"/>
    <cellStyle name="Normalny" xfId="0" builtinId="0"/>
    <cellStyle name="Normalny 2" xfId="1" xr:uid="{00000000-0005-0000-0000-000004000000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E9" sqref="E9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288</v>
      </c>
      <c r="E7" s="10"/>
    </row>
    <row r="8" spans="3:7" ht="38.25" customHeight="1" thickBot="1">
      <c r="C8" s="12" t="s">
        <v>293</v>
      </c>
      <c r="D8" s="16">
        <v>2023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452</v>
      </c>
      <c r="E13" s="27" t="s">
        <v>453</v>
      </c>
      <c r="F13" s="28" t="s">
        <v>455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104" t="s">
        <v>438</v>
      </c>
      <c r="D22" s="19"/>
    </row>
    <row r="23" spans="3:6" ht="26.25">
      <c r="C23" s="104"/>
      <c r="D23" s="20" t="s">
        <v>280</v>
      </c>
    </row>
    <row r="24" spans="3:6" ht="28.5" customHeight="1">
      <c r="C24" s="104"/>
    </row>
    <row r="25" spans="3:6">
      <c r="C25" s="22"/>
    </row>
    <row r="26" spans="3:6">
      <c r="C26" s="104" t="s">
        <v>439</v>
      </c>
    </row>
    <row r="27" spans="3:6">
      <c r="C27" s="104"/>
    </row>
    <row r="28" spans="3:6" ht="23.25" customHeight="1">
      <c r="C28" s="104"/>
    </row>
    <row r="29" spans="3:6">
      <c r="C29" s="22"/>
    </row>
    <row r="30" spans="3:6" ht="12.75" customHeight="1">
      <c r="C30" s="104" t="s">
        <v>440</v>
      </c>
    </row>
    <row r="31" spans="3:6" ht="12.75" customHeight="1">
      <c r="C31" s="104"/>
    </row>
    <row r="32" spans="3:6" ht="21.75" customHeight="1">
      <c r="C32" s="104"/>
    </row>
    <row r="33" spans="3:3" ht="14.25" customHeight="1">
      <c r="C33" s="104"/>
    </row>
    <row r="34" spans="3:3">
      <c r="C34" s="104"/>
    </row>
    <row r="35" spans="3:3">
      <c r="C35" s="104"/>
    </row>
    <row r="37" spans="3:3" ht="12.75" customHeight="1">
      <c r="C37" s="104" t="s">
        <v>448</v>
      </c>
    </row>
    <row r="38" spans="3:3" ht="12.75" customHeight="1">
      <c r="C38" s="104"/>
    </row>
    <row r="39" spans="3:3" ht="19.5" customHeight="1">
      <c r="C39" s="104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20"/>
  <sheetViews>
    <sheetView tabSelected="1" view="pageBreakPreview" topLeftCell="A13" zoomScale="70" zoomScaleNormal="100" zoomScaleSheetLayoutView="70" workbookViewId="0">
      <selection activeCell="G10" sqref="G10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3.140625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" width="34.85546875" style="29" customWidth="1"/>
    <col min="17" max="16384" width="9.140625" style="29"/>
  </cols>
  <sheetData>
    <row r="1" spans="1:16" ht="20.100000000000001" customHeight="1">
      <c r="D1" s="31"/>
      <c r="F1" s="33"/>
    </row>
    <row r="2" spans="1:16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Sierpień </v>
      </c>
      <c r="E2" s="37">
        <f>'Dane podstawowe'!D8</f>
        <v>2023</v>
      </c>
      <c r="F2" s="38"/>
      <c r="G2" s="38"/>
      <c r="H2" s="38"/>
      <c r="I2" s="38"/>
    </row>
    <row r="3" spans="1:16" ht="20.100000000000001" customHeight="1">
      <c r="E3" s="40"/>
    </row>
    <row r="4" spans="1:16" ht="20.100000000000001" customHeight="1">
      <c r="B4" s="105" t="s">
        <v>430</v>
      </c>
      <c r="C4" s="105"/>
      <c r="D4" s="106"/>
      <c r="E4" s="40"/>
    </row>
    <row r="5" spans="1:16" ht="20.100000000000001" customHeight="1">
      <c r="B5" s="41"/>
      <c r="C5" s="41"/>
      <c r="D5" s="42"/>
      <c r="E5" s="40"/>
    </row>
    <row r="6" spans="1:16" ht="90.75" customHeight="1">
      <c r="B6" s="107" t="s">
        <v>444</v>
      </c>
      <c r="C6" s="107"/>
      <c r="D6" s="107"/>
      <c r="E6" s="107"/>
      <c r="F6" s="107"/>
      <c r="G6" s="108" t="s">
        <v>446</v>
      </c>
      <c r="H6" s="109"/>
      <c r="I6" s="109"/>
      <c r="J6" s="110"/>
      <c r="K6" s="48" t="s">
        <v>447</v>
      </c>
      <c r="L6" s="107" t="s">
        <v>445</v>
      </c>
      <c r="M6" s="107"/>
      <c r="N6" s="107"/>
      <c r="O6" s="43"/>
    </row>
    <row r="7" spans="1:16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1:16" ht="90.75" customHeight="1">
      <c r="A8" s="47"/>
      <c r="B8" s="62" t="s">
        <v>55</v>
      </c>
      <c r="C8" s="62" t="s">
        <v>269</v>
      </c>
      <c r="D8" s="65" t="s">
        <v>468</v>
      </c>
      <c r="E8" s="59">
        <v>2212866800032</v>
      </c>
      <c r="F8" s="62" t="s">
        <v>469</v>
      </c>
      <c r="G8" s="63">
        <v>0</v>
      </c>
      <c r="H8" s="67">
        <v>0</v>
      </c>
      <c r="I8" s="63">
        <v>0</v>
      </c>
      <c r="J8" s="66" t="s">
        <v>470</v>
      </c>
      <c r="K8" s="63">
        <v>25</v>
      </c>
      <c r="L8" s="63">
        <v>0</v>
      </c>
      <c r="M8" s="63">
        <v>0</v>
      </c>
      <c r="N8" s="63">
        <v>0</v>
      </c>
      <c r="O8" s="64">
        <v>45166</v>
      </c>
    </row>
    <row r="9" spans="1:16" ht="90.75" customHeight="1">
      <c r="B9" s="72" t="s">
        <v>87</v>
      </c>
      <c r="C9" s="72" t="s">
        <v>269</v>
      </c>
      <c r="D9" s="71" t="s">
        <v>462</v>
      </c>
      <c r="E9" s="70">
        <v>550412627</v>
      </c>
      <c r="F9" s="72" t="s">
        <v>463</v>
      </c>
      <c r="G9" s="73">
        <v>0</v>
      </c>
      <c r="H9" s="73" t="s">
        <v>471</v>
      </c>
      <c r="I9" s="73">
        <v>0</v>
      </c>
      <c r="J9" s="73" t="s">
        <v>454</v>
      </c>
      <c r="K9" s="73">
        <v>24</v>
      </c>
      <c r="L9" s="73">
        <v>0</v>
      </c>
      <c r="M9" s="73">
        <v>0</v>
      </c>
      <c r="N9" s="73">
        <v>0</v>
      </c>
      <c r="O9" s="74" t="s">
        <v>464</v>
      </c>
    </row>
    <row r="10" spans="1:16" ht="90.75" customHeight="1">
      <c r="B10" s="72" t="s">
        <v>91</v>
      </c>
      <c r="C10" s="72" t="s">
        <v>269</v>
      </c>
      <c r="D10" s="76" t="s">
        <v>472</v>
      </c>
      <c r="E10" s="77">
        <v>387507087</v>
      </c>
      <c r="F10" s="80" t="s">
        <v>473</v>
      </c>
      <c r="G10" s="81">
        <v>49</v>
      </c>
      <c r="H10" s="78" t="s">
        <v>474</v>
      </c>
      <c r="I10" s="75"/>
      <c r="J10" s="79" t="s">
        <v>456</v>
      </c>
      <c r="K10" s="73"/>
      <c r="L10" s="73"/>
      <c r="M10" s="73"/>
      <c r="N10" s="73"/>
      <c r="O10" s="74">
        <v>45161</v>
      </c>
    </row>
    <row r="11" spans="1:16" ht="90.75" customHeight="1">
      <c r="B11" s="85" t="s">
        <v>91</v>
      </c>
      <c r="C11" s="85" t="s">
        <v>269</v>
      </c>
      <c r="D11" s="93" t="s">
        <v>457</v>
      </c>
      <c r="E11" s="86">
        <v>10778878</v>
      </c>
      <c r="F11" s="94" t="s">
        <v>458</v>
      </c>
      <c r="G11" s="94">
        <v>0</v>
      </c>
      <c r="H11" s="90">
        <v>0</v>
      </c>
      <c r="I11" s="82">
        <v>0</v>
      </c>
      <c r="J11" s="89">
        <v>0</v>
      </c>
      <c r="K11" s="82">
        <v>8</v>
      </c>
      <c r="L11" s="83">
        <v>0</v>
      </c>
      <c r="M11" s="82">
        <v>0</v>
      </c>
      <c r="N11" s="82">
        <v>0</v>
      </c>
      <c r="O11" s="90">
        <v>45173</v>
      </c>
    </row>
    <row r="12" spans="1:16" s="61" customFormat="1" ht="139.5" customHeight="1">
      <c r="B12" s="50" t="s">
        <v>91</v>
      </c>
      <c r="C12" s="50" t="s">
        <v>269</v>
      </c>
      <c r="D12" s="60" t="s">
        <v>459</v>
      </c>
      <c r="E12" s="68" t="s">
        <v>460</v>
      </c>
      <c r="F12" s="92" t="s">
        <v>461</v>
      </c>
      <c r="G12" s="82">
        <v>0</v>
      </c>
      <c r="H12" s="84">
        <v>0</v>
      </c>
      <c r="I12" s="82">
        <v>0</v>
      </c>
      <c r="J12" s="82">
        <v>0</v>
      </c>
      <c r="K12" s="82">
        <v>32</v>
      </c>
      <c r="L12" s="82">
        <v>0</v>
      </c>
      <c r="M12" s="84">
        <v>0</v>
      </c>
      <c r="N12" s="84">
        <v>0</v>
      </c>
      <c r="O12" s="69">
        <v>45169</v>
      </c>
    </row>
    <row r="13" spans="1:16" ht="90.75" customHeight="1">
      <c r="B13" s="87" t="s">
        <v>91</v>
      </c>
      <c r="C13" s="87" t="s">
        <v>269</v>
      </c>
      <c r="D13" s="93" t="s">
        <v>475</v>
      </c>
      <c r="E13" s="91" t="s">
        <v>476</v>
      </c>
      <c r="F13" s="92" t="s">
        <v>477</v>
      </c>
      <c r="G13" s="102">
        <v>0</v>
      </c>
      <c r="H13" s="89">
        <v>0</v>
      </c>
      <c r="I13" s="102">
        <v>0</v>
      </c>
      <c r="J13" s="102">
        <v>0</v>
      </c>
      <c r="K13" s="102">
        <v>99</v>
      </c>
      <c r="L13" s="102">
        <v>0</v>
      </c>
      <c r="M13" s="89">
        <v>0</v>
      </c>
      <c r="N13" s="89">
        <v>0</v>
      </c>
      <c r="O13" s="90">
        <v>45169</v>
      </c>
    </row>
    <row r="14" spans="1:16" ht="90.75" customHeight="1">
      <c r="B14" s="88" t="s">
        <v>91</v>
      </c>
      <c r="C14" s="88" t="s">
        <v>269</v>
      </c>
      <c r="D14" s="93" t="s">
        <v>478</v>
      </c>
      <c r="E14" s="94">
        <v>142010439</v>
      </c>
      <c r="F14" s="95" t="s">
        <v>479</v>
      </c>
      <c r="G14" s="94">
        <v>0</v>
      </c>
      <c r="H14" s="94">
        <v>0</v>
      </c>
      <c r="I14" s="94">
        <v>0</v>
      </c>
      <c r="J14" s="94">
        <v>0</v>
      </c>
      <c r="K14" s="94">
        <v>65</v>
      </c>
      <c r="L14" s="94">
        <v>0</v>
      </c>
      <c r="M14" s="94">
        <v>0</v>
      </c>
      <c r="N14" s="94">
        <v>0</v>
      </c>
      <c r="O14" s="96">
        <v>45169</v>
      </c>
      <c r="P14" s="30"/>
    </row>
    <row r="15" spans="1:16" ht="90.75" customHeight="1">
      <c r="B15" s="88" t="s">
        <v>91</v>
      </c>
      <c r="C15" s="88" t="s">
        <v>269</v>
      </c>
      <c r="D15" s="93" t="s">
        <v>480</v>
      </c>
      <c r="E15" s="94">
        <v>362077261</v>
      </c>
      <c r="F15" s="95" t="s">
        <v>481</v>
      </c>
      <c r="G15" s="97">
        <v>0</v>
      </c>
      <c r="H15" s="97">
        <v>0</v>
      </c>
      <c r="I15" s="97">
        <v>0</v>
      </c>
      <c r="J15" s="97">
        <v>0</v>
      </c>
      <c r="K15" s="97">
        <v>1</v>
      </c>
      <c r="L15" s="97">
        <v>0</v>
      </c>
      <c r="M15" s="97">
        <v>0</v>
      </c>
      <c r="N15" s="97">
        <v>0</v>
      </c>
      <c r="O15" s="96">
        <v>45169</v>
      </c>
    </row>
    <row r="16" spans="1:16" ht="90.75" customHeight="1">
      <c r="B16" s="88" t="s">
        <v>91</v>
      </c>
      <c r="C16" s="88" t="s">
        <v>269</v>
      </c>
      <c r="D16" s="93" t="s">
        <v>465</v>
      </c>
      <c r="E16" s="98" t="s">
        <v>466</v>
      </c>
      <c r="F16" s="95" t="s">
        <v>467</v>
      </c>
      <c r="G16" s="97">
        <v>0</v>
      </c>
      <c r="H16" s="97">
        <v>0</v>
      </c>
      <c r="I16" s="97">
        <v>0</v>
      </c>
      <c r="J16" s="97">
        <v>0</v>
      </c>
      <c r="K16" s="97">
        <v>7</v>
      </c>
      <c r="L16" s="97">
        <v>0</v>
      </c>
      <c r="M16" s="97">
        <v>0</v>
      </c>
      <c r="N16" s="97">
        <v>0</v>
      </c>
      <c r="O16" s="96">
        <v>45173</v>
      </c>
    </row>
    <row r="17" spans="2:16" ht="90.75" customHeight="1">
      <c r="B17" s="88" t="s">
        <v>91</v>
      </c>
      <c r="C17" s="88" t="s">
        <v>269</v>
      </c>
      <c r="D17" s="99" t="s">
        <v>482</v>
      </c>
      <c r="E17" s="100" t="s">
        <v>483</v>
      </c>
      <c r="F17" s="101" t="s">
        <v>484</v>
      </c>
      <c r="G17" s="102">
        <v>0</v>
      </c>
      <c r="H17" s="97">
        <v>0</v>
      </c>
      <c r="I17" s="97">
        <v>0</v>
      </c>
      <c r="J17" s="97">
        <v>0</v>
      </c>
      <c r="K17" s="103">
        <v>1</v>
      </c>
      <c r="L17" s="97">
        <v>0</v>
      </c>
      <c r="M17" s="97">
        <v>0</v>
      </c>
      <c r="N17" s="97">
        <v>0</v>
      </c>
      <c r="O17" s="96">
        <v>45169</v>
      </c>
    </row>
    <row r="18" spans="2:16" ht="90.75" customHeight="1">
      <c r="B18" s="88" t="s">
        <v>91</v>
      </c>
      <c r="C18" s="88" t="s">
        <v>269</v>
      </c>
      <c r="D18" s="93" t="s">
        <v>485</v>
      </c>
      <c r="E18" s="100" t="s">
        <v>486</v>
      </c>
      <c r="F18" s="95" t="s">
        <v>477</v>
      </c>
      <c r="G18" s="97">
        <v>0</v>
      </c>
      <c r="H18" s="97">
        <v>0</v>
      </c>
      <c r="I18" s="97">
        <v>0</v>
      </c>
      <c r="J18" s="97">
        <v>0</v>
      </c>
      <c r="K18" s="97">
        <v>64</v>
      </c>
      <c r="L18" s="97">
        <v>0</v>
      </c>
      <c r="M18" s="97">
        <v>0</v>
      </c>
      <c r="N18" s="97">
        <v>0</v>
      </c>
      <c r="O18" s="96">
        <v>45169</v>
      </c>
      <c r="P18" s="56"/>
    </row>
    <row r="19" spans="2:16" ht="90.75" customHeight="1">
      <c r="B19" s="51"/>
      <c r="C19" s="51"/>
      <c r="D19" s="52"/>
      <c r="E19" s="55"/>
      <c r="F19" s="54"/>
      <c r="G19" s="49">
        <f>SUM(G8:G18)</f>
        <v>49</v>
      </c>
      <c r="H19" s="49"/>
      <c r="I19" s="49"/>
      <c r="J19" s="49"/>
      <c r="K19" s="49">
        <f t="shared" ref="H19:O19" si="0">SUM(K8:K18)</f>
        <v>326</v>
      </c>
      <c r="L19" s="49"/>
      <c r="M19" s="49"/>
      <c r="N19" s="49"/>
      <c r="O19" s="49"/>
      <c r="P19" s="56"/>
    </row>
    <row r="20" spans="2:16" ht="90.75" customHeight="1">
      <c r="B20" s="57"/>
      <c r="C20" s="51"/>
      <c r="D20" s="52"/>
      <c r="E20" s="58"/>
      <c r="F20" s="54"/>
      <c r="G20" s="56"/>
      <c r="H20" s="49"/>
      <c r="I20" s="49"/>
      <c r="J20" s="49"/>
      <c r="K20" s="54"/>
      <c r="L20" s="49"/>
      <c r="M20" s="49"/>
      <c r="N20" s="49"/>
      <c r="O20" s="53"/>
      <c r="P20" s="56"/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37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2020-08-05T11:40:15Z</cp:lastPrinted>
  <dcterms:created xsi:type="dcterms:W3CDTF">2009-02-04T13:09:17Z</dcterms:created>
  <dcterms:modified xsi:type="dcterms:W3CDTF">2023-09-13T09:36:58Z</dcterms:modified>
</cp:coreProperties>
</file>
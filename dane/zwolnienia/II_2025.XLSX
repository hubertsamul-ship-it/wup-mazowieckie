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5\"/>
    </mc:Choice>
  </mc:AlternateContent>
  <xr:revisionPtr revIDLastSave="0" documentId="13_ncr:1_{77586105-6EE6-4D40-8223-8E4E54DE16D9}" xr6:coauthVersionLast="47" xr6:coauthVersionMax="47" xr10:uidLastSave="{00000000-0000-0000-0000-000000000000}"/>
  <bookViews>
    <workbookView xWindow="-80" yWindow="-80" windowWidth="38560" windowHeight="2104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5" l="1"/>
  <c r="G41" i="5" s="1"/>
  <c r="I39" i="5"/>
  <c r="K39" i="5"/>
  <c r="L39" i="5"/>
  <c r="R46" i="5" l="1"/>
  <c r="E2" i="5"/>
  <c r="D2" i="5"/>
  <c r="C2" i="5" l="1"/>
</calcChain>
</file>

<file path=xl/sharedStrings.xml><?xml version="1.0" encoding="utf-8"?>
<sst xmlns="http://schemas.openxmlformats.org/spreadsheetml/2006/main" count="628" uniqueCount="539">
  <si>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</si>
  <si>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</si>
  <si>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</si>
  <si>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</si>
  <si>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</si>
  <si>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</si>
  <si>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</si>
  <si>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</si>
  <si>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</si>
  <si>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</si>
  <si>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</si>
  <si>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</si>
  <si>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</si>
  <si>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</si>
  <si>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</si>
  <si>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</si>
  <si>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</si>
  <si>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</si>
  <si>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</si>
  <si>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</si>
  <si>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</si>
  <si>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</si>
  <si>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</si>
  <si>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</si>
  <si>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</si>
  <si>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</si>
  <si>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</si>
  <si>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</si>
  <si>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</si>
  <si>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</si>
  <si>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</si>
  <si>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</si>
  <si>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</si>
  <si>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</si>
  <si>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</si>
  <si>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</si>
  <si>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</si>
  <si>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</si>
  <si>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</si>
  <si>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</si>
  <si>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</si>
  <si>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</si>
  <si>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</si>
  <si>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</si>
  <si>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</si>
  <si>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</si>
  <si>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</si>
  <si>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</si>
  <si>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</si>
  <si>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</si>
  <si>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</si>
  <si>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</si>
  <si>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</si>
  <si>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</si>
  <si>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</si>
  <si>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</si>
  <si>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</si>
  <si>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</si>
  <si>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</si>
  <si>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</si>
  <si>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</si>
  <si>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</si>
  <si>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</si>
  <si>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</si>
  <si>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</si>
  <si>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</si>
  <si>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</si>
  <si>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</si>
  <si>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</si>
  <si>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</si>
  <si>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</si>
  <si>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</si>
  <si>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</si>
  <si>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</si>
  <si>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</si>
  <si>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</si>
  <si>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</si>
  <si>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</si>
  <si>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</si>
  <si>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</si>
  <si>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</si>
  <si>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</si>
  <si>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</si>
  <si>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</si>
  <si>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</si>
  <si>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</si>
  <si>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</si>
  <si>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</si>
  <si>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</si>
  <si>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</si>
  <si>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</si>
  <si>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</si>
  <si>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</si>
  <si>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</si>
  <si>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</si>
  <si>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</si>
  <si>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</si>
  <si>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</si>
  <si>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</si>
  <si>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</si>
  <si>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</si>
  <si>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</si>
  <si>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</si>
  <si>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</si>
  <si>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</si>
  <si>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</si>
  <si>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</si>
  <si>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</si>
  <si>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</si>
  <si>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</si>
  <si>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</si>
  <si>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</si>
  <si>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</si>
  <si>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</si>
  <si>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</si>
  <si>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</si>
  <si>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</si>
  <si>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</si>
  <si>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</si>
  <si>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</si>
  <si>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</si>
  <si>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</si>
  <si>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</si>
  <si>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</si>
  <si>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</si>
  <si>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</si>
  <si>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</si>
  <si>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</si>
  <si>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</si>
  <si>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</si>
  <si>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</si>
  <si>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</si>
  <si>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</si>
  <si>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</si>
  <si>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</si>
  <si>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</si>
  <si>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</si>
  <si>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</si>
  <si>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</si>
  <si>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</si>
  <si>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</si>
  <si>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</si>
  <si>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</si>
  <si>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</si>
  <si>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</si>
  <si>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</si>
  <si>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</si>
  <si>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</si>
  <si>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</si>
  <si>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</si>
  <si>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</si>
  <si>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</si>
  <si>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</si>
  <si>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</si>
  <si>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</si>
  <si>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</si>
  <si>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</si>
  <si>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</si>
  <si>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</si>
  <si>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</si>
  <si>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</si>
  <si>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</si>
  <si>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</si>
  <si>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</si>
  <si>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</si>
  <si>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</si>
  <si>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</si>
  <si>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</si>
  <si>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</si>
  <si>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</si>
  <si>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</si>
  <si>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</si>
  <si>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</si>
  <si>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</si>
  <si>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</si>
  <si>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</si>
  <si>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</si>
  <si>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</si>
  <si>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</si>
  <si>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</si>
  <si>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</si>
  <si>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</si>
  <si>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</si>
  <si>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</si>
  <si>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</si>
  <si>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</si>
  <si>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</si>
  <si>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</si>
  <si>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</si>
  <si>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</si>
  <si>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</si>
  <si>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</si>
  <si>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</si>
  <si>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</si>
  <si>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</si>
  <si>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</si>
  <si>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</si>
  <si>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</si>
  <si>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</si>
  <si>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</si>
  <si>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</si>
  <si>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</si>
  <si>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</si>
  <si>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</si>
  <si>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</si>
  <si>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</si>
  <si>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</si>
  <si>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</si>
  <si>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</si>
  <si>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</si>
  <si>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</si>
  <si>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</si>
  <si>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</si>
  <si>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</si>
  <si>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</si>
  <si>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</si>
  <si>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</si>
  <si>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</si>
  <si>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</si>
  <si>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</si>
  <si>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</si>
  <si>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</si>
  <si>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</si>
  <si>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</si>
  <si>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</si>
  <si>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</si>
  <si>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</si>
  <si>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</si>
  <si>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</si>
  <si>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</si>
  <si>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</si>
  <si>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</si>
  <si>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</si>
  <si>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</si>
  <si>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</si>
  <si>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</si>
  <si>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</si>
  <si>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</si>
  <si>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</si>
  <si>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</si>
  <si>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</si>
  <si>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</si>
  <si>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</si>
  <si>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</si>
  <si>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</si>
  <si>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</si>
  <si>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</si>
  <si>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</si>
  <si>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</si>
  <si>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</si>
  <si>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</si>
  <si>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</si>
  <si>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</si>
  <si>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</si>
  <si>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</si>
  <si>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</si>
  <si>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</si>
  <si>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</si>
  <si>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</si>
  <si>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</si>
  <si>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</si>
  <si>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</si>
  <si>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</si>
  <si>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</si>
  <si>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</si>
  <si>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</si>
  <si>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</si>
  <si>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</si>
  <si>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</si>
  <si>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</si>
  <si>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</si>
  <si>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</si>
  <si>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</si>
  <si>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</si>
  <si>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</si>
  <si>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</si>
  <si>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</si>
  <si>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</si>
  <si>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</si>
  <si>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</si>
  <si>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</si>
  <si>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</si>
  <si>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</si>
  <si>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</si>
  <si>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</si>
  <si>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</si>
  <si>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</si>
  <si>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</si>
  <si>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</si>
  <si>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</si>
  <si>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</si>
  <si>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</si>
  <si>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</si>
  <si>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</si>
  <si>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</si>
  <si>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</si>
  <si>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</si>
  <si>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</si>
  <si>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</si>
  <si>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</si>
  <si>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</si>
  <si>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</si>
  <si>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</si>
  <si>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</si>
  <si>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</si>
  <si>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</si>
  <si>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</si>
  <si>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</si>
  <si>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</si>
  <si>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</si>
  <si>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</si>
  <si>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</si>
  <si>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</si>
  <si>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</si>
  <si>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</si>
  <si>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</si>
  <si>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</si>
  <si>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</si>
  <si>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</si>
  <si>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</si>
  <si>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</si>
  <si>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</si>
  <si>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</si>
  <si>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</si>
  <si>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</si>
  <si>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</si>
  <si>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</si>
  <si>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</si>
  <si>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</si>
  <si>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</si>
  <si>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</si>
  <si>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</si>
  <si>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</si>
  <si>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</si>
  <si>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</si>
  <si>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</si>
  <si>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</si>
  <si>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</si>
  <si>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</si>
  <si>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</si>
  <si>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</si>
  <si>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</si>
  <si>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</si>
  <si>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</si>
  <si>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</si>
  <si>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</si>
  <si>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</si>
  <si>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</si>
  <si>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</si>
  <si>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</si>
  <si>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</si>
  <si>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</si>
  <si>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</si>
  <si>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</si>
  <si>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</si>
  <si>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</si>
  <si>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</si>
  <si>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</si>
  <si>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</si>
  <si>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</si>
  <si>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</si>
  <si>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</si>
  <si>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</si>
  <si>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</si>
  <si>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</si>
  <si>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</si>
  <si>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</si>
  <si>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</si>
  <si>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</si>
  <si>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</si>
  <si>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</si>
  <si>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</si>
  <si>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</si>
  <si>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</si>
  <si>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</si>
  <si>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</si>
  <si>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</si>
  <si>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</si>
  <si>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</si>
  <si>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</si>
  <si>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</si>
  <si>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</si>
  <si>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</si>
  <si>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</si>
  <si>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</si>
  <si>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</si>
  <si>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</si>
  <si>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</si>
  <si>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</si>
  <si>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</si>
  <si>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</si>
  <si>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</si>
  <si>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</si>
  <si>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</si>
  <si>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</si>
  <si>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</si>
  <si>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</si>
  <si>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</si>
  <si>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</si>
  <si>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</si>
  <si>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</si>
  <si>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</si>
  <si>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</si>
  <si>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</si>
  <si>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</si>
  <si>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</si>
  <si>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</si>
  <si>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</si>
  <si>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</si>
  <si>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</si>
  <si>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</si>
  <si>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</si>
  <si>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</si>
  <si>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</si>
  <si>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</si>
  <si>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</si>
  <si>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</si>
  <si>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</si>
  <si>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</si>
  <si>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</si>
  <si>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</si>
  <si>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</si>
  <si>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</si>
  <si>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</si>
  <si>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</si>
  <si>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</si>
  <si>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</si>
  <si>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</si>
  <si>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</si>
  <si>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</si>
  <si>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</si>
  <si>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</si>
  <si>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</si>
  <si>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</si>
  <si>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</si>
  <si>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</si>
  <si>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</si>
  <si>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</si>
  <si>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</si>
  <si>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</si>
  <si>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</si>
  <si>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</si>
  <si>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</si>
  <si>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</si>
  <si>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</si>
  <si>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</si>
  <si>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</si>
  <si>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</si>
  <si>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</si>
  <si>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</si>
  <si>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</si>
  <si>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</si>
  <si>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nie</t>
  </si>
  <si>
    <t>Hubert Samul</t>
  </si>
  <si>
    <t>48 22 578 44 17</t>
  </si>
  <si>
    <t>h.samul@wup.mazowsze.pl</t>
  </si>
  <si>
    <t>6619Z</t>
  </si>
  <si>
    <t>tak</t>
  </si>
  <si>
    <t>mazowieckie</t>
  </si>
  <si>
    <t>4663Z</t>
  </si>
  <si>
    <t>5310Z</t>
  </si>
  <si>
    <t>Chiesi Poland Sp. z o. o.                                  ul. Al.Jerozolimskie 134                                           02-305 Warszawa</t>
  </si>
  <si>
    <t>4646Z</t>
  </si>
  <si>
    <t>5821Z</t>
  </si>
  <si>
    <t>BNP Paribas Polska Spółka Akcyjna                                                   ul. M. Kasprzaka 2                                                      01-211 Warszawa</t>
  </si>
  <si>
    <t>6419Z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</si>
  <si>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</si>
  <si>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2030Z</t>
  </si>
  <si>
    <t>4638 Z</t>
  </si>
  <si>
    <t>7010Z</t>
  </si>
  <si>
    <t>3316Z</t>
  </si>
  <si>
    <t>CODERS LAB sp. z o.o.                                ul. Prosta 51,                                                          00-838 Warszawa</t>
  </si>
  <si>
    <t>8589B</t>
  </si>
  <si>
    <t>2825Z</t>
  </si>
  <si>
    <t xml:space="preserve">FLAKTGROUP POLAND SP. Z O. O. </t>
  </si>
  <si>
    <t>NIE</t>
  </si>
  <si>
    <t>0</t>
  </si>
  <si>
    <t>CNH Industrial Polska Sp. z o.o.</t>
  </si>
  <si>
    <t>2830Z</t>
  </si>
  <si>
    <t>do 31.07.2025</t>
  </si>
  <si>
    <t>TOHO POLAND Sp. z o.o.</t>
  </si>
  <si>
    <t>00509479600000</t>
  </si>
  <si>
    <t>2815Z</t>
  </si>
  <si>
    <t>DUNTA SPÓŁKA Z O.O.</t>
  </si>
  <si>
    <t>1392Z</t>
  </si>
  <si>
    <t>Tetris Poland Sp. z o. o.                               ul. Plac Europejski 1,                              00-844 Warszawa</t>
  </si>
  <si>
    <t>147381264</t>
  </si>
  <si>
    <t>4339Z</t>
  </si>
  <si>
    <t>II-III.2025</t>
  </si>
  <si>
    <t>pracodawca sam zapewnie outplacement</t>
  </si>
  <si>
    <t>AKZO NOBEL CAR REFINISHES POLSKA sp. z o.o.                                   ul. Krakowiaków 50,                                   02-255 Warszawa</t>
  </si>
  <si>
    <t>III-VI.2025</t>
  </si>
  <si>
    <t xml:space="preserve">nie </t>
  </si>
  <si>
    <t>W dniu 26.02.2025 Pracodawca podpisał porozumienie z Urzędzem Pracy w sprawie realizacji usługi outplacementu</t>
  </si>
  <si>
    <t>GRUPA OLX sp. z o.o.                                     ul. Królowej Jadwigi 43,                                61-872 Poznań</t>
  </si>
  <si>
    <t>362117960</t>
  </si>
  <si>
    <t>6312Z</t>
  </si>
  <si>
    <t>CONTROLEXPERT POLSKA sp. z o.o.                                                            ul. Postępu 18B                                                          02-676 Warszawa</t>
  </si>
  <si>
    <t>142599923</t>
  </si>
  <si>
    <t>5221Z</t>
  </si>
  <si>
    <t>"AT&amp;T GLOBAL NETWORK SERVICES POLSKA" sp. z o.o.                                       Al. Jerozolimskie 96,                                        00-807 Warszawa</t>
  </si>
  <si>
    <t>6110Z</t>
  </si>
  <si>
    <t>III-IV2025</t>
  </si>
  <si>
    <t>pracodawca sam zapewnia outplacement realizowany przez firmę zewnętrzną</t>
  </si>
  <si>
    <t>SIGMA BIS S.A.                                            ul. Bielańska 12                                                    00-085 Warszawa</t>
  </si>
  <si>
    <t>7311Z</t>
  </si>
  <si>
    <t>II-VI.2025</t>
  </si>
  <si>
    <t>Snowflake Poland sp. z o.o.                      ul. Kasprzaka 4,                                                     01-211 Warszwa</t>
  </si>
  <si>
    <t>7320Z</t>
  </si>
  <si>
    <t>COCA-COLA POLAND SERVICES sp. z o.o.                                                                    ul. Prosta 67                                                      00-838 Warszawa</t>
  </si>
  <si>
    <t>4634B</t>
  </si>
  <si>
    <t>THAMES BRITISH SCHOOL sp. z o.o.                                                    ul. Wawelska 66/74                                    02-034 Warszawa</t>
  </si>
  <si>
    <t>8560Z</t>
  </si>
  <si>
    <t>m.st. Warszawa</t>
  </si>
  <si>
    <t>POCZTA POLSKA S.A.                                ul. Rodziny Hiszpańskich 8,                                       00-940 Warszawa</t>
  </si>
  <si>
    <t>W dniu 17.02.2025 Pracodawca podpisał porozumienie z Urzędem Pracy w sprawie realizacji usługi outplacementu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</si>
  <si>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</si>
  <si>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Teleperformance Polska Sp.  z o.o. 
ul. Wołowska 24
02-675 Warszawa</t>
  </si>
  <si>
    <t>931907038</t>
  </si>
  <si>
    <t>8220Z</t>
  </si>
  <si>
    <t>HOGAN LOVELLS (WARSZAWA) LLP (SPÓŁKA PARTNERSKA) ODDZIAŁ W POLSCE                              ul. plac Trzech Krzyży 10/14 ,            00-499 Warszawa</t>
  </si>
  <si>
    <t>142006320</t>
  </si>
  <si>
    <t>6910Z</t>
  </si>
  <si>
    <t>Better Energy Poland Sp. z o.o. ul. Plac Europejski 1, 38p,                00-844 Warszawa</t>
  </si>
  <si>
    <t>520216329</t>
  </si>
  <si>
    <t>Unilever Polska Sp. z o.o.                             ul. Al. Jerozolimskie 134,                             02-305 Warszawa</t>
  </si>
  <si>
    <t>FRIDAY TECHNOLOGY sp. z o.o.           ul. Prosta 20,                                             00-850 Warszawa</t>
  </si>
  <si>
    <t>6201Z</t>
  </si>
  <si>
    <t>AMS POLAND sp. z o. o.                               ul. Marszałkowska 115,                       00-102 Warszawa</t>
  </si>
  <si>
    <t>HUUUGE GAMES sp. z o.o.                         ul. Storrady- Świętosławay 1A/501                                             71-602 Szczecin</t>
  </si>
  <si>
    <t>POCZTA POLSKA S.A.                                ul. Rodziny Hiszpańskich 8,                                                    00-940 Warszawa</t>
  </si>
  <si>
    <t>Provident Polska S.A.                                       ul. Inflancka 4A                                                               03-189 Warszawa</t>
  </si>
  <si>
    <t>11994880</t>
  </si>
  <si>
    <t>6492Z</t>
  </si>
  <si>
    <t>LINETECH S.A.                                   ul. Armii Ludowej 26,                         00-609 Warszawa</t>
  </si>
  <si>
    <t>Xylem Water Solutions Polska sp. z o.o. ul. Karczunkowska 46,                                       02-871 Warszawa</t>
  </si>
  <si>
    <t>WOŁOMIŃSKI</t>
  </si>
  <si>
    <t>Hoogwegt Poland Sp. z o. o.                        w likwidacji</t>
  </si>
  <si>
    <t>30.01.2025-28.02.2025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</si>
</sst>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5]General"/>
    <numFmt numFmtId="169" formatCode="yyyy/mm/dd"/>
  </numFmts>
  <fonts count="25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u/>
      <sz val="10"/>
      <color theme="10"/>
      <name val="Arial"/>
      <charset val="238"/>
    </font>
    <font>
      <sz val="11"/>
      <color rgb="FF4D5156"/>
      <name val="Arial"/>
      <family val="2"/>
      <charset val="238"/>
    </font>
    <font>
      <sz val="11"/>
      <color rgb="FF424242"/>
      <name val="Calibri"/>
      <family val="2"/>
      <charset val="238"/>
      <scheme val="minor"/>
    </font>
    <font>
      <sz val="8"/>
      <name val="Arial"/>
      <charset val="238"/>
    </font>
    <font>
      <sz val="10"/>
      <color rgb="FF00000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6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90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15" fillId="0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14" fontId="15" fillId="4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4" fillId="0" borderId="15" xfId="9" applyFont="1" applyBorder="1" applyAlignment="1">
      <alignment horizontal="center" vertical="center"/>
    </xf>
    <xf numFmtId="49" fontId="24" fillId="0" borderId="15" xfId="9" applyNumberFormat="1" applyFont="1" applyBorder="1" applyAlignment="1">
      <alignment horizontal="center" vertical="center"/>
    </xf>
    <xf numFmtId="169" fontId="24" fillId="0" borderId="15" xfId="9" applyNumberFormat="1" applyFont="1" applyBorder="1" applyAlignment="1">
      <alignment horizontal="center" vertical="center"/>
    </xf>
    <xf numFmtId="0" fontId="24" fillId="0" borderId="16" xfId="9" applyFont="1" applyBorder="1" applyAlignment="1">
      <alignment horizontal="center" vertical="center"/>
    </xf>
    <xf numFmtId="14" fontId="24" fillId="0" borderId="15" xfId="9" applyNumberFormat="1" applyFont="1" applyBorder="1" applyAlignment="1">
      <alignment horizontal="center" vertical="center"/>
    </xf>
  </cellXfs>
  <cellStyles count="10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Normalny" xfId="0" builtinId="0"/>
    <cellStyle name="Normalny 2" xfId="1" xr:uid="{00000000-0005-0000-0000-000004000000}"/>
    <cellStyle name="Normalny 3" xfId="9" xr:uid="{E8A93F02-1F52-4C9A-A1C3-6B24CBD17BF6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282</v>
      </c>
      <c r="E7" s="10"/>
    </row>
    <row r="8" spans="3:7" ht="38.25" customHeight="1" thickBot="1">
      <c r="C8" s="12" t="s">
        <v>293</v>
      </c>
      <c r="D8" s="16">
        <v>2025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453</v>
      </c>
      <c r="E13" s="27" t="s">
        <v>455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78" t="s">
        <v>438</v>
      </c>
      <c r="D22" s="19"/>
    </row>
    <row r="23" spans="3:6" ht="26">
      <c r="C23" s="78"/>
      <c r="D23" s="20" t="s">
        <v>280</v>
      </c>
    </row>
    <row r="24" spans="3:6" ht="28.5" customHeight="1">
      <c r="C24" s="78"/>
    </row>
    <row r="25" spans="3:6">
      <c r="C25" s="22"/>
    </row>
    <row r="26" spans="3:6">
      <c r="C26" s="78" t="s">
        <v>439</v>
      </c>
    </row>
    <row r="27" spans="3:6">
      <c r="C27" s="78"/>
    </row>
    <row r="28" spans="3:6" ht="23.25" customHeight="1">
      <c r="C28" s="78"/>
    </row>
    <row r="29" spans="3:6">
      <c r="C29" s="22"/>
    </row>
    <row r="30" spans="3:6" ht="12.75" customHeight="1">
      <c r="C30" s="78" t="s">
        <v>440</v>
      </c>
    </row>
    <row r="31" spans="3:6" ht="12.75" customHeight="1">
      <c r="C31" s="78"/>
    </row>
    <row r="32" spans="3:6" ht="21.75" customHeight="1">
      <c r="C32" s="78"/>
    </row>
    <row r="33" spans="3:3" ht="14.25" customHeight="1">
      <c r="C33" s="78"/>
    </row>
    <row r="34" spans="3:3">
      <c r="C34" s="78"/>
    </row>
    <row r="35" spans="3:3">
      <c r="C35" s="78"/>
    </row>
    <row r="37" spans="3:3" ht="12.75" customHeight="1">
      <c r="C37" s="78" t="s">
        <v>448</v>
      </c>
    </row>
    <row r="38" spans="3:3" ht="12.75" customHeight="1">
      <c r="C38" s="78"/>
    </row>
    <row r="39" spans="3:3" ht="19.5" customHeight="1">
      <c r="C39" s="78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0"/>
  <sheetViews>
    <sheetView tabSelected="1" zoomScale="115" zoomScaleNormal="115" zoomScaleSheetLayoutView="100" workbookViewId="0">
      <selection activeCell="G39" sqref="G39"/>
    </sheetView>
  </sheetViews>
  <sheetFormatPr defaultColWidth="9.1796875" defaultRowHeight="90.75" customHeight="1"/>
  <cols>
    <col min="1" max="1" width="1.81640625" style="29" customWidth="1"/>
    <col min="2" max="3" width="21.54296875" style="30" customWidth="1"/>
    <col min="4" max="4" width="40" style="39" customWidth="1"/>
    <col min="5" max="5" width="25.54296875" style="32" customWidth="1"/>
    <col min="6" max="6" width="13.1796875" style="30" customWidth="1"/>
    <col min="7" max="7" width="14.453125" style="30" customWidth="1"/>
    <col min="8" max="8" width="22.7265625" style="30" customWidth="1"/>
    <col min="9" max="9" width="17.26953125" style="30" customWidth="1"/>
    <col min="10" max="10" width="14.453125" style="30" customWidth="1"/>
    <col min="11" max="11" width="26.7265625" style="30" customWidth="1"/>
    <col min="12" max="12" width="16.81640625" style="30" customWidth="1"/>
    <col min="13" max="13" width="24.81640625" style="30" customWidth="1"/>
    <col min="14" max="14" width="17.7265625" style="30" customWidth="1"/>
    <col min="15" max="15" width="23.7265625" style="30" customWidth="1"/>
    <col min="16" max="16" width="34.81640625" style="29" customWidth="1"/>
    <col min="17" max="16384" width="9.1796875" style="29"/>
  </cols>
  <sheetData>
    <row r="1" spans="2:15" ht="20.149999999999999" customHeight="1">
      <c r="D1" s="31"/>
      <c r="F1" s="33"/>
    </row>
    <row r="2" spans="2:15" ht="20.149999999999999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Luty </v>
      </c>
      <c r="E2" s="37">
        <f>'Dane podstawowe'!D8</f>
        <v>2025</v>
      </c>
      <c r="F2" s="38"/>
      <c r="G2" s="38"/>
      <c r="H2" s="38"/>
      <c r="I2" s="38"/>
    </row>
    <row r="3" spans="2:15" ht="20.149999999999999" customHeight="1">
      <c r="E3" s="40"/>
    </row>
    <row r="4" spans="2:15" ht="20.149999999999999" customHeight="1">
      <c r="B4" s="79" t="s">
        <v>430</v>
      </c>
      <c r="C4" s="79"/>
      <c r="D4" s="80"/>
      <c r="E4" s="40"/>
    </row>
    <row r="5" spans="2:15" ht="20.149999999999999" customHeight="1">
      <c r="B5" s="41"/>
      <c r="C5" s="41"/>
      <c r="D5" s="42"/>
      <c r="E5" s="40"/>
    </row>
    <row r="6" spans="2:15" ht="90.75" customHeight="1">
      <c r="B6" s="81" t="s">
        <v>444</v>
      </c>
      <c r="C6" s="81"/>
      <c r="D6" s="81"/>
      <c r="E6" s="81"/>
      <c r="F6" s="81"/>
      <c r="G6" s="82" t="s">
        <v>446</v>
      </c>
      <c r="H6" s="83"/>
      <c r="I6" s="83"/>
      <c r="J6" s="84"/>
      <c r="K6" s="47" t="s">
        <v>447</v>
      </c>
      <c r="L6" s="81" t="s">
        <v>445</v>
      </c>
      <c r="M6" s="81"/>
      <c r="N6" s="81"/>
      <c r="O6" s="43"/>
    </row>
    <row r="7" spans="2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2:15" ht="47" customHeight="1">
      <c r="B8" s="52" t="s">
        <v>88</v>
      </c>
      <c r="C8" s="52" t="s">
        <v>269</v>
      </c>
      <c r="D8" s="53" t="s">
        <v>477</v>
      </c>
      <c r="E8" s="65">
        <v>610032798</v>
      </c>
      <c r="F8" s="52" t="s">
        <v>478</v>
      </c>
      <c r="G8" s="52">
        <v>78</v>
      </c>
      <c r="H8" s="58" t="s">
        <v>479</v>
      </c>
      <c r="I8" s="52"/>
      <c r="J8" s="52" t="s">
        <v>452</v>
      </c>
      <c r="K8" s="52"/>
      <c r="L8" s="52"/>
      <c r="M8" s="52"/>
      <c r="N8" s="52"/>
      <c r="O8" s="64">
        <v>45716</v>
      </c>
    </row>
    <row r="9" spans="2:15" ht="47" customHeight="1">
      <c r="B9" s="85" t="s">
        <v>89</v>
      </c>
      <c r="C9" s="85" t="s">
        <v>458</v>
      </c>
      <c r="D9" s="85" t="s">
        <v>480</v>
      </c>
      <c r="E9" s="86" t="s">
        <v>481</v>
      </c>
      <c r="F9" s="85" t="s">
        <v>482</v>
      </c>
      <c r="G9" s="85">
        <v>0</v>
      </c>
      <c r="H9" s="87"/>
      <c r="I9" s="88">
        <v>0</v>
      </c>
      <c r="J9" s="88" t="s">
        <v>457</v>
      </c>
      <c r="K9" s="88">
        <v>87</v>
      </c>
      <c r="L9" s="88">
        <v>0</v>
      </c>
      <c r="M9" s="88"/>
      <c r="N9" s="88"/>
      <c r="O9" s="89">
        <v>45691</v>
      </c>
    </row>
    <row r="10" spans="2:15" ht="47" customHeight="1">
      <c r="B10" s="52" t="s">
        <v>90</v>
      </c>
      <c r="C10" s="52" t="s">
        <v>269</v>
      </c>
      <c r="D10" s="53" t="s">
        <v>483</v>
      </c>
      <c r="E10" s="55">
        <v>52957641400000</v>
      </c>
      <c r="F10" s="52" t="s">
        <v>484</v>
      </c>
      <c r="G10" s="52">
        <v>10</v>
      </c>
      <c r="H10" s="58">
        <v>45808</v>
      </c>
      <c r="I10" s="52">
        <v>10</v>
      </c>
      <c r="J10" s="52" t="s">
        <v>452</v>
      </c>
      <c r="K10" s="59">
        <v>0</v>
      </c>
      <c r="L10" s="59">
        <v>0</v>
      </c>
      <c r="M10" s="60">
        <v>0</v>
      </c>
      <c r="N10" s="60">
        <v>0</v>
      </c>
      <c r="O10" s="51">
        <v>45716</v>
      </c>
    </row>
    <row r="11" spans="2:15" ht="47" customHeight="1">
      <c r="B11" s="49" t="s">
        <v>91</v>
      </c>
      <c r="C11" s="49" t="s">
        <v>269</v>
      </c>
      <c r="D11" s="53" t="s">
        <v>485</v>
      </c>
      <c r="E11" s="54" t="s">
        <v>486</v>
      </c>
      <c r="F11" s="52" t="s">
        <v>487</v>
      </c>
      <c r="G11" s="52">
        <v>49</v>
      </c>
      <c r="H11" s="55" t="s">
        <v>488</v>
      </c>
      <c r="I11" s="52"/>
      <c r="J11" s="52" t="s">
        <v>452</v>
      </c>
      <c r="K11" s="59"/>
      <c r="L11" s="52">
        <v>49</v>
      </c>
      <c r="M11" s="55" t="s">
        <v>489</v>
      </c>
      <c r="N11" s="55" t="s">
        <v>488</v>
      </c>
      <c r="O11" s="51">
        <v>45692</v>
      </c>
    </row>
    <row r="12" spans="2:15" ht="47" customHeight="1">
      <c r="B12" s="56" t="s">
        <v>91</v>
      </c>
      <c r="C12" s="56" t="s">
        <v>269</v>
      </c>
      <c r="D12" s="57" t="s">
        <v>490</v>
      </c>
      <c r="E12" s="50">
        <v>12890013</v>
      </c>
      <c r="F12" s="50" t="s">
        <v>467</v>
      </c>
      <c r="G12" s="50">
        <v>70</v>
      </c>
      <c r="H12" s="50" t="s">
        <v>491</v>
      </c>
      <c r="I12" s="50"/>
      <c r="J12" s="50" t="s">
        <v>492</v>
      </c>
      <c r="K12" s="50"/>
      <c r="L12" s="50">
        <v>70</v>
      </c>
      <c r="M12" s="50" t="s">
        <v>493</v>
      </c>
      <c r="N12" s="50" t="s">
        <v>491</v>
      </c>
      <c r="O12" s="51">
        <v>45694</v>
      </c>
    </row>
    <row r="13" spans="2:15" ht="47" customHeight="1">
      <c r="B13" s="52" t="s">
        <v>91</v>
      </c>
      <c r="C13" s="52" t="s">
        <v>269</v>
      </c>
      <c r="D13" s="53" t="s">
        <v>494</v>
      </c>
      <c r="E13" s="54" t="s">
        <v>495</v>
      </c>
      <c r="F13" s="52" t="s">
        <v>496</v>
      </c>
      <c r="G13" s="52">
        <v>53</v>
      </c>
      <c r="H13" s="55" t="s">
        <v>488</v>
      </c>
      <c r="I13" s="52"/>
      <c r="J13" s="52" t="s">
        <v>452</v>
      </c>
      <c r="K13" s="59"/>
      <c r="L13" s="59"/>
      <c r="M13" s="60"/>
      <c r="N13" s="60"/>
      <c r="O13" s="51">
        <v>45694</v>
      </c>
    </row>
    <row r="14" spans="2:15" ht="47" customHeight="1">
      <c r="B14" s="52" t="s">
        <v>91</v>
      </c>
      <c r="C14" s="52" t="s">
        <v>269</v>
      </c>
      <c r="D14" s="53" t="s">
        <v>497</v>
      </c>
      <c r="E14" s="54" t="s">
        <v>498</v>
      </c>
      <c r="F14" s="54" t="s">
        <v>499</v>
      </c>
      <c r="G14" s="52">
        <v>23</v>
      </c>
      <c r="H14" s="55" t="s">
        <v>488</v>
      </c>
      <c r="I14" s="52"/>
      <c r="J14" s="52" t="s">
        <v>452</v>
      </c>
      <c r="K14" s="52"/>
      <c r="L14" s="52"/>
      <c r="M14" s="55"/>
      <c r="N14" s="55"/>
      <c r="O14" s="51">
        <v>45694</v>
      </c>
    </row>
    <row r="15" spans="2:15" ht="47" customHeight="1">
      <c r="B15" s="52" t="s">
        <v>91</v>
      </c>
      <c r="C15" s="52" t="s">
        <v>269</v>
      </c>
      <c r="D15" s="53" t="s">
        <v>500</v>
      </c>
      <c r="E15" s="55">
        <v>11585160</v>
      </c>
      <c r="F15" s="52" t="s">
        <v>501</v>
      </c>
      <c r="G15" s="52">
        <v>140</v>
      </c>
      <c r="H15" s="55" t="s">
        <v>502</v>
      </c>
      <c r="I15" s="52"/>
      <c r="J15" s="52" t="s">
        <v>452</v>
      </c>
      <c r="K15" s="59"/>
      <c r="L15" s="59">
        <v>140</v>
      </c>
      <c r="M15" s="60" t="s">
        <v>503</v>
      </c>
      <c r="N15" s="60" t="s">
        <v>502</v>
      </c>
      <c r="O15" s="51">
        <v>45694</v>
      </c>
    </row>
    <row r="16" spans="2:15" ht="47" customHeight="1">
      <c r="B16" s="52" t="s">
        <v>91</v>
      </c>
      <c r="C16" s="52" t="s">
        <v>269</v>
      </c>
      <c r="D16" s="53" t="s">
        <v>504</v>
      </c>
      <c r="E16" s="52">
        <v>360316610</v>
      </c>
      <c r="F16" s="52" t="s">
        <v>505</v>
      </c>
      <c r="G16" s="55">
        <v>23</v>
      </c>
      <c r="H16" s="55" t="s">
        <v>506</v>
      </c>
      <c r="I16" s="55"/>
      <c r="J16" s="55" t="s">
        <v>452</v>
      </c>
      <c r="K16" s="55"/>
      <c r="L16" s="55"/>
      <c r="M16" s="55"/>
      <c r="N16" s="55"/>
      <c r="O16" s="58">
        <v>45698</v>
      </c>
    </row>
    <row r="17" spans="2:16" ht="47" customHeight="1">
      <c r="B17" s="52" t="s">
        <v>91</v>
      </c>
      <c r="C17" s="52" t="s">
        <v>269</v>
      </c>
      <c r="D17" s="53" t="s">
        <v>507</v>
      </c>
      <c r="E17" s="55">
        <v>7010185832</v>
      </c>
      <c r="F17" s="55" t="s">
        <v>508</v>
      </c>
      <c r="G17" s="55">
        <v>86</v>
      </c>
      <c r="H17" s="55" t="s">
        <v>488</v>
      </c>
      <c r="I17" s="55"/>
      <c r="J17" s="55" t="s">
        <v>452</v>
      </c>
      <c r="K17" s="55"/>
      <c r="L17" s="55">
        <v>86</v>
      </c>
      <c r="M17" s="55" t="s">
        <v>503</v>
      </c>
      <c r="N17" s="55" t="s">
        <v>488</v>
      </c>
      <c r="O17" s="58">
        <v>45706</v>
      </c>
    </row>
    <row r="18" spans="2:16" ht="47" customHeight="1">
      <c r="B18" s="52" t="s">
        <v>91</v>
      </c>
      <c r="C18" s="52" t="s">
        <v>269</v>
      </c>
      <c r="D18" s="53" t="s">
        <v>509</v>
      </c>
      <c r="E18" s="55">
        <v>12073449</v>
      </c>
      <c r="F18" s="55" t="s">
        <v>510</v>
      </c>
      <c r="G18" s="55">
        <v>41</v>
      </c>
      <c r="H18" s="55" t="s">
        <v>491</v>
      </c>
      <c r="I18" s="55"/>
      <c r="J18" s="55" t="s">
        <v>452</v>
      </c>
      <c r="K18" s="55"/>
      <c r="L18" s="55"/>
      <c r="M18" s="55"/>
      <c r="N18" s="55"/>
      <c r="O18" s="58">
        <v>45706</v>
      </c>
    </row>
    <row r="19" spans="2:16" ht="47" customHeight="1">
      <c r="B19" s="52" t="s">
        <v>91</v>
      </c>
      <c r="C19" s="52" t="s">
        <v>269</v>
      </c>
      <c r="D19" s="53" t="s">
        <v>511</v>
      </c>
      <c r="E19" s="55">
        <v>369796987</v>
      </c>
      <c r="F19" s="55" t="s">
        <v>512</v>
      </c>
      <c r="G19" s="55">
        <v>28</v>
      </c>
      <c r="H19" s="55" t="s">
        <v>491</v>
      </c>
      <c r="I19" s="55"/>
      <c r="J19" s="55" t="s">
        <v>457</v>
      </c>
      <c r="K19" s="55"/>
      <c r="L19" s="55"/>
      <c r="M19" s="55"/>
      <c r="N19" s="55"/>
      <c r="O19" s="58">
        <v>45713</v>
      </c>
    </row>
    <row r="20" spans="2:16" ht="47" customHeight="1">
      <c r="B20" s="52" t="s">
        <v>91</v>
      </c>
      <c r="C20" s="52" t="s">
        <v>513</v>
      </c>
      <c r="D20" s="53" t="s">
        <v>514</v>
      </c>
      <c r="E20" s="55">
        <v>10684960</v>
      </c>
      <c r="F20" s="55" t="s">
        <v>460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8518</v>
      </c>
      <c r="M20" s="55" t="s">
        <v>515</v>
      </c>
      <c r="N20" s="55">
        <v>0</v>
      </c>
      <c r="O20" s="58">
        <v>45705</v>
      </c>
    </row>
    <row r="21" spans="2:16" ht="47" customHeight="1">
      <c r="B21" s="52" t="s">
        <v>91</v>
      </c>
      <c r="C21" s="52" t="s">
        <v>269</v>
      </c>
      <c r="D21" s="53" t="s">
        <v>466</v>
      </c>
      <c r="E21" s="55">
        <v>140225259</v>
      </c>
      <c r="F21" s="55" t="s">
        <v>456</v>
      </c>
      <c r="G21" s="55">
        <v>0</v>
      </c>
      <c r="H21" s="55">
        <v>0</v>
      </c>
      <c r="I21" s="55">
        <v>0</v>
      </c>
      <c r="J21" s="55">
        <v>0</v>
      </c>
      <c r="K21" s="55">
        <v>5</v>
      </c>
      <c r="L21" s="55">
        <v>0</v>
      </c>
      <c r="M21" s="55">
        <v>0</v>
      </c>
      <c r="N21" s="55">
        <v>0</v>
      </c>
      <c r="O21" s="58">
        <v>45709</v>
      </c>
    </row>
    <row r="22" spans="2:16" ht="47" customHeight="1">
      <c r="B22" s="52" t="s">
        <v>91</v>
      </c>
      <c r="C22" s="52" t="s">
        <v>269</v>
      </c>
      <c r="D22" s="53" t="s">
        <v>516</v>
      </c>
      <c r="E22" s="55">
        <v>367280630</v>
      </c>
      <c r="F22" s="55" t="s">
        <v>456</v>
      </c>
      <c r="G22" s="55">
        <v>0</v>
      </c>
      <c r="H22" s="55">
        <v>0</v>
      </c>
      <c r="I22" s="55">
        <v>0</v>
      </c>
      <c r="J22" s="55">
        <v>0</v>
      </c>
      <c r="K22" s="55">
        <v>28</v>
      </c>
      <c r="L22" s="55">
        <v>0</v>
      </c>
      <c r="M22" s="55">
        <v>0</v>
      </c>
      <c r="N22" s="55">
        <v>0</v>
      </c>
      <c r="O22" s="58">
        <v>45712</v>
      </c>
    </row>
    <row r="23" spans="2:16" ht="47" customHeight="1">
      <c r="B23" s="52" t="s">
        <v>91</v>
      </c>
      <c r="C23" s="52" t="s">
        <v>269</v>
      </c>
      <c r="D23" s="53" t="s">
        <v>517</v>
      </c>
      <c r="E23" s="66" t="s">
        <v>518</v>
      </c>
      <c r="F23" s="52" t="s">
        <v>519</v>
      </c>
      <c r="G23" s="52">
        <v>0</v>
      </c>
      <c r="H23" s="52">
        <v>0</v>
      </c>
      <c r="I23" s="52">
        <v>0</v>
      </c>
      <c r="J23" s="52">
        <v>0</v>
      </c>
      <c r="K23" s="52">
        <v>5</v>
      </c>
      <c r="L23" s="52">
        <v>0</v>
      </c>
      <c r="M23" s="52">
        <v>0</v>
      </c>
      <c r="N23" s="52">
        <v>0</v>
      </c>
      <c r="O23" s="64">
        <v>45712</v>
      </c>
    </row>
    <row r="24" spans="2:16" ht="47" customHeight="1">
      <c r="B24" s="61" t="s">
        <v>91</v>
      </c>
      <c r="C24" s="61" t="s">
        <v>269</v>
      </c>
      <c r="D24" s="67" t="s">
        <v>520</v>
      </c>
      <c r="E24" s="68" t="s">
        <v>521</v>
      </c>
      <c r="F24" s="61" t="s">
        <v>522</v>
      </c>
      <c r="G24" s="62">
        <v>0</v>
      </c>
      <c r="H24" s="62">
        <v>0</v>
      </c>
      <c r="I24" s="62">
        <v>0</v>
      </c>
      <c r="J24" s="62">
        <v>0</v>
      </c>
      <c r="K24" s="62">
        <v>7</v>
      </c>
      <c r="L24" s="62">
        <v>0</v>
      </c>
      <c r="M24" s="62">
        <v>0</v>
      </c>
      <c r="N24" s="62">
        <v>0</v>
      </c>
      <c r="O24" s="63">
        <v>45713</v>
      </c>
      <c r="P24" s="48"/>
    </row>
    <row r="25" spans="2:16" ht="47" customHeight="1">
      <c r="B25" s="61" t="s">
        <v>91</v>
      </c>
      <c r="C25" s="61" t="s">
        <v>269</v>
      </c>
      <c r="D25" s="67" t="s">
        <v>523</v>
      </c>
      <c r="E25" s="68" t="s">
        <v>524</v>
      </c>
      <c r="F25" s="61" t="s">
        <v>469</v>
      </c>
      <c r="G25" s="69">
        <v>0</v>
      </c>
      <c r="H25" s="62">
        <v>0</v>
      </c>
      <c r="I25" s="62">
        <v>0</v>
      </c>
      <c r="J25" s="62">
        <v>0</v>
      </c>
      <c r="K25" s="61">
        <v>9</v>
      </c>
      <c r="L25" s="62">
        <v>0</v>
      </c>
      <c r="M25" s="62">
        <v>0</v>
      </c>
      <c r="N25" s="62">
        <v>0</v>
      </c>
      <c r="O25" s="63">
        <v>45712</v>
      </c>
      <c r="P25" s="48"/>
    </row>
    <row r="26" spans="2:16" ht="47" customHeight="1">
      <c r="B26" s="55" t="s">
        <v>91</v>
      </c>
      <c r="C26" s="55" t="s">
        <v>269</v>
      </c>
      <c r="D26" s="70" t="s">
        <v>525</v>
      </c>
      <c r="E26" s="71">
        <v>140566233</v>
      </c>
      <c r="F26" s="55" t="s">
        <v>468</v>
      </c>
      <c r="G26" s="55">
        <v>0</v>
      </c>
      <c r="H26" s="55">
        <v>0</v>
      </c>
      <c r="I26" s="55">
        <v>0</v>
      </c>
      <c r="J26" s="55">
        <v>0</v>
      </c>
      <c r="K26" s="55">
        <v>19</v>
      </c>
      <c r="L26" s="55">
        <v>0</v>
      </c>
      <c r="M26" s="55">
        <v>0</v>
      </c>
      <c r="N26" s="55">
        <v>0</v>
      </c>
      <c r="O26" s="58">
        <v>45709</v>
      </c>
    </row>
    <row r="27" spans="2:16" ht="47" customHeight="1">
      <c r="B27" s="55" t="s">
        <v>91</v>
      </c>
      <c r="C27" s="55" t="s">
        <v>269</v>
      </c>
      <c r="D27" s="70" t="s">
        <v>526</v>
      </c>
      <c r="E27" s="71">
        <v>384990864</v>
      </c>
      <c r="F27" s="55" t="s">
        <v>527</v>
      </c>
      <c r="G27" s="55">
        <v>0</v>
      </c>
      <c r="H27" s="55">
        <v>0</v>
      </c>
      <c r="I27" s="55">
        <v>0</v>
      </c>
      <c r="J27" s="55">
        <v>0</v>
      </c>
      <c r="K27" s="55">
        <v>19</v>
      </c>
      <c r="L27" s="55">
        <v>0</v>
      </c>
      <c r="M27" s="55">
        <v>0</v>
      </c>
      <c r="N27" s="55">
        <v>0</v>
      </c>
      <c r="O27" s="58">
        <v>45712</v>
      </c>
    </row>
    <row r="28" spans="2:16" ht="47" customHeight="1">
      <c r="B28" s="55" t="s">
        <v>91</v>
      </c>
      <c r="C28" s="55" t="s">
        <v>269</v>
      </c>
      <c r="D28" s="70" t="s">
        <v>528</v>
      </c>
      <c r="E28" s="71">
        <v>520747601</v>
      </c>
      <c r="F28" s="55" t="s">
        <v>470</v>
      </c>
      <c r="G28" s="55">
        <v>0</v>
      </c>
      <c r="H28" s="55">
        <v>0</v>
      </c>
      <c r="I28" s="55">
        <v>0</v>
      </c>
      <c r="J28" s="55">
        <v>0</v>
      </c>
      <c r="K28" s="55">
        <v>6</v>
      </c>
      <c r="L28" s="55">
        <v>0</v>
      </c>
      <c r="M28" s="55">
        <v>0</v>
      </c>
      <c r="N28" s="55">
        <v>0</v>
      </c>
      <c r="O28" s="58">
        <v>45709</v>
      </c>
    </row>
    <row r="29" spans="2:16" ht="47" customHeight="1">
      <c r="B29" s="55" t="s">
        <v>91</v>
      </c>
      <c r="C29" s="55" t="s">
        <v>269</v>
      </c>
      <c r="D29" s="70" t="s">
        <v>461</v>
      </c>
      <c r="E29" s="71">
        <v>15889708</v>
      </c>
      <c r="F29" s="55" t="s">
        <v>462</v>
      </c>
      <c r="G29" s="55">
        <v>0</v>
      </c>
      <c r="H29" s="55">
        <v>0</v>
      </c>
      <c r="I29" s="55">
        <v>0</v>
      </c>
      <c r="J29" s="55">
        <v>0</v>
      </c>
      <c r="K29" s="55">
        <v>1</v>
      </c>
      <c r="L29" s="55">
        <v>0</v>
      </c>
      <c r="M29" s="55">
        <v>0</v>
      </c>
      <c r="N29" s="55">
        <v>0</v>
      </c>
      <c r="O29" s="58">
        <v>45713</v>
      </c>
    </row>
    <row r="30" spans="2:16" ht="47" customHeight="1">
      <c r="B30" s="55" t="s">
        <v>91</v>
      </c>
      <c r="C30" s="55" t="s">
        <v>269</v>
      </c>
      <c r="D30" s="70" t="s">
        <v>529</v>
      </c>
      <c r="E30" s="71">
        <v>320132107</v>
      </c>
      <c r="F30" s="55" t="s">
        <v>463</v>
      </c>
      <c r="G30" s="55">
        <v>0</v>
      </c>
      <c r="H30" s="55">
        <v>0</v>
      </c>
      <c r="I30" s="55">
        <v>0</v>
      </c>
      <c r="J30" s="55">
        <v>0</v>
      </c>
      <c r="K30" s="55">
        <v>10</v>
      </c>
      <c r="L30" s="55">
        <v>0</v>
      </c>
      <c r="M30" s="55">
        <v>0</v>
      </c>
      <c r="N30" s="55">
        <v>0</v>
      </c>
      <c r="O30" s="58">
        <v>45713</v>
      </c>
    </row>
    <row r="31" spans="2:16" ht="47" customHeight="1">
      <c r="B31" s="55" t="s">
        <v>91</v>
      </c>
      <c r="C31" s="55" t="s">
        <v>269</v>
      </c>
      <c r="D31" s="70" t="s">
        <v>530</v>
      </c>
      <c r="E31" s="71">
        <v>10684960</v>
      </c>
      <c r="F31" s="55" t="s">
        <v>460</v>
      </c>
      <c r="G31" s="55">
        <v>0</v>
      </c>
      <c r="H31" s="55">
        <v>0</v>
      </c>
      <c r="I31" s="55">
        <v>0</v>
      </c>
      <c r="J31" s="55">
        <v>0</v>
      </c>
      <c r="K31" s="55">
        <v>3329</v>
      </c>
      <c r="L31" s="55">
        <v>0</v>
      </c>
      <c r="M31" s="55">
        <v>0</v>
      </c>
      <c r="N31" s="55">
        <v>0</v>
      </c>
      <c r="O31" s="58">
        <v>45715</v>
      </c>
    </row>
    <row r="32" spans="2:16" s="30" customFormat="1" ht="47" customHeight="1">
      <c r="B32" s="62" t="s">
        <v>91</v>
      </c>
      <c r="C32" s="62" t="s">
        <v>269</v>
      </c>
      <c r="D32" s="62" t="s">
        <v>531</v>
      </c>
      <c r="E32" s="77" t="s">
        <v>532</v>
      </c>
      <c r="F32" s="62" t="s">
        <v>533</v>
      </c>
      <c r="G32" s="62">
        <v>0</v>
      </c>
      <c r="H32" s="55">
        <v>0</v>
      </c>
      <c r="I32" s="61">
        <v>0</v>
      </c>
      <c r="J32" s="62">
        <v>0</v>
      </c>
      <c r="K32" s="61">
        <v>69</v>
      </c>
      <c r="L32" s="72" t="s">
        <v>476</v>
      </c>
      <c r="M32" s="61">
        <v>0</v>
      </c>
      <c r="N32" s="61">
        <v>0</v>
      </c>
      <c r="O32" s="63">
        <v>45715</v>
      </c>
    </row>
    <row r="33" spans="2:18" ht="47" customHeight="1">
      <c r="B33" s="55" t="s">
        <v>91</v>
      </c>
      <c r="C33" s="55" t="s">
        <v>269</v>
      </c>
      <c r="D33" s="70" t="s">
        <v>534</v>
      </c>
      <c r="E33" s="71">
        <v>142084478</v>
      </c>
      <c r="F33" s="55" t="s">
        <v>470</v>
      </c>
      <c r="G33" s="55">
        <v>0</v>
      </c>
      <c r="H33" s="55">
        <v>0</v>
      </c>
      <c r="I33" s="55">
        <v>0</v>
      </c>
      <c r="J33" s="55">
        <v>0</v>
      </c>
      <c r="K33" s="55">
        <v>7</v>
      </c>
      <c r="L33" s="55">
        <v>0</v>
      </c>
      <c r="M33" s="55">
        <v>0</v>
      </c>
      <c r="N33" s="55">
        <v>0</v>
      </c>
      <c r="O33" s="58">
        <v>45715</v>
      </c>
    </row>
    <row r="34" spans="2:18" ht="47" customHeight="1">
      <c r="B34" s="73" t="s">
        <v>91</v>
      </c>
      <c r="C34" s="73" t="s">
        <v>513</v>
      </c>
      <c r="D34" s="74" t="s">
        <v>535</v>
      </c>
      <c r="E34" s="75">
        <v>10020420</v>
      </c>
      <c r="F34" s="73" t="s">
        <v>459</v>
      </c>
      <c r="G34" s="73">
        <v>0</v>
      </c>
      <c r="H34" s="55">
        <v>0</v>
      </c>
      <c r="I34" s="73">
        <v>0</v>
      </c>
      <c r="J34" s="73">
        <v>0</v>
      </c>
      <c r="K34" s="73">
        <v>10</v>
      </c>
      <c r="L34" s="73">
        <v>0</v>
      </c>
      <c r="M34" s="73">
        <v>0</v>
      </c>
      <c r="N34" s="73">
        <v>0</v>
      </c>
      <c r="O34" s="76">
        <v>45716</v>
      </c>
    </row>
    <row r="35" spans="2:18" ht="47" customHeight="1">
      <c r="B35" s="73" t="s">
        <v>91</v>
      </c>
      <c r="C35" s="73" t="s">
        <v>513</v>
      </c>
      <c r="D35" s="74" t="s">
        <v>471</v>
      </c>
      <c r="E35" s="75">
        <v>146734507</v>
      </c>
      <c r="F35" s="73" t="s">
        <v>472</v>
      </c>
      <c r="G35" s="73">
        <v>0</v>
      </c>
      <c r="H35" s="55">
        <v>0</v>
      </c>
      <c r="I35" s="73">
        <v>0</v>
      </c>
      <c r="J35" s="73">
        <v>0</v>
      </c>
      <c r="K35" s="73">
        <v>15</v>
      </c>
      <c r="L35" s="73">
        <v>0</v>
      </c>
      <c r="M35" s="73">
        <v>0</v>
      </c>
      <c r="N35" s="73">
        <v>0</v>
      </c>
      <c r="O35" s="76">
        <v>45716</v>
      </c>
    </row>
    <row r="36" spans="2:18" ht="47" customHeight="1">
      <c r="B36" s="73" t="s">
        <v>91</v>
      </c>
      <c r="C36" s="73" t="s">
        <v>513</v>
      </c>
      <c r="D36" s="74" t="s">
        <v>464</v>
      </c>
      <c r="E36" s="75">
        <v>10778878</v>
      </c>
      <c r="F36" s="73" t="s">
        <v>465</v>
      </c>
      <c r="G36" s="73">
        <v>0</v>
      </c>
      <c r="H36" s="55">
        <v>0</v>
      </c>
      <c r="I36" s="73">
        <v>0</v>
      </c>
      <c r="J36" s="73">
        <v>0</v>
      </c>
      <c r="K36" s="73">
        <v>8</v>
      </c>
      <c r="L36" s="73">
        <v>0</v>
      </c>
      <c r="M36" s="73">
        <v>0</v>
      </c>
      <c r="N36" s="73">
        <v>0</v>
      </c>
      <c r="O36" s="76">
        <v>45716</v>
      </c>
    </row>
    <row r="37" spans="2:18" ht="47" customHeight="1">
      <c r="B37" s="73" t="s">
        <v>92</v>
      </c>
      <c r="C37" s="73" t="s">
        <v>458</v>
      </c>
      <c r="D37" s="74" t="s">
        <v>474</v>
      </c>
      <c r="E37" s="75">
        <v>11208114</v>
      </c>
      <c r="F37" s="73" t="s">
        <v>473</v>
      </c>
      <c r="G37" s="73">
        <v>0</v>
      </c>
      <c r="H37" s="76">
        <v>45777</v>
      </c>
      <c r="I37" s="73">
        <v>0</v>
      </c>
      <c r="J37" s="73" t="s">
        <v>475</v>
      </c>
      <c r="K37" s="73">
        <v>27</v>
      </c>
      <c r="L37" s="73">
        <v>0</v>
      </c>
      <c r="M37" s="73">
        <v>0</v>
      </c>
      <c r="N37" s="73">
        <v>0</v>
      </c>
      <c r="O37" s="76">
        <v>45594</v>
      </c>
    </row>
    <row r="38" spans="2:18" ht="47" customHeight="1">
      <c r="B38" s="73" t="s">
        <v>536</v>
      </c>
      <c r="C38" s="73" t="s">
        <v>269</v>
      </c>
      <c r="D38" s="74" t="s">
        <v>537</v>
      </c>
      <c r="E38" s="75">
        <v>1110626000000</v>
      </c>
      <c r="F38" s="73">
        <v>1051</v>
      </c>
      <c r="G38" s="73">
        <v>0</v>
      </c>
      <c r="H38" s="73" t="s">
        <v>538</v>
      </c>
      <c r="I38" s="73">
        <v>0</v>
      </c>
      <c r="J38" s="73" t="s">
        <v>457</v>
      </c>
      <c r="K38" s="73">
        <v>1</v>
      </c>
      <c r="L38" s="73">
        <v>0</v>
      </c>
      <c r="M38" s="73">
        <v>0</v>
      </c>
      <c r="N38" s="73">
        <v>0</v>
      </c>
      <c r="O38" s="76">
        <v>45694</v>
      </c>
    </row>
    <row r="39" spans="2:18" ht="13">
      <c r="G39" s="30">
        <f>SUM(G8:G38)</f>
        <v>601</v>
      </c>
      <c r="I39" s="30">
        <f t="shared" ref="I39:L39" si="0">SUM(I8:I38)</f>
        <v>10</v>
      </c>
      <c r="K39" s="30">
        <f t="shared" si="0"/>
        <v>3662</v>
      </c>
      <c r="L39" s="30">
        <f t="shared" si="0"/>
        <v>8863</v>
      </c>
    </row>
    <row r="40" spans="2:18" ht="13">
      <c r="G40" s="30">
        <v>601</v>
      </c>
    </row>
    <row r="41" spans="2:18" ht="13">
      <c r="G41" s="30">
        <f>G39-G40</f>
        <v>0</v>
      </c>
    </row>
    <row r="42" spans="2:18" ht="13"/>
    <row r="43" spans="2:18" ht="13"/>
    <row r="44" spans="2:18" ht="13"/>
    <row r="45" spans="2:18" ht="13">
      <c r="R45" s="29">
        <v>2348</v>
      </c>
    </row>
    <row r="46" spans="2:18" ht="13">
      <c r="R46" s="29">
        <f>R45-G24</f>
        <v>2348</v>
      </c>
    </row>
    <row r="47" spans="2:18" ht="13"/>
    <row r="48" spans="2:18" ht="13"/>
    <row r="49" ht="13"/>
    <row r="50" ht="13"/>
    <row r="51" ht="13"/>
    <row r="52" ht="13"/>
    <row r="53" ht="13"/>
    <row r="54" ht="13"/>
    <row r="55" ht="13"/>
    <row r="56" ht="13"/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</sheetData>
  <mergeCells count="4">
    <mergeCell ref="B4:D4"/>
    <mergeCell ref="B6:F6"/>
    <mergeCell ref="L6:N6"/>
    <mergeCell ref="G6:J6"/>
  </mergeCells>
  <phoneticPr fontId="22" type="noConversion"/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2025-03-11T09:00:21Z</dcterms:modified>
</cp:coreProperties>
</file>
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ydział Mazowieckiego Obserwatorium Rynku Pracy\PBSSP\dane_miesieczne\Zwolnienia\2022\"/>
    </mc:Choice>
  </mc:AlternateContent>
  <bookViews>
    <workbookView xWindow="0" yWindow="0" windowWidth="28800" windowHeight="11775" activeTab="1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dane!$A$1:$O$17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62913"/>
</workbook>
</file>

<file path=xl/calcChain.xml><?xml version="1.0" encoding="utf-8"?>
<calcChain xmlns="http://schemas.openxmlformats.org/spreadsheetml/2006/main">
  <c r="E2" i="5" l="1"/>
  <c r="D2" i="5"/>
  <c r="C2" i="5"/>
</calcChain>
</file>

<file path=xl/sharedStrings.xml><?xml version="1.0" encoding="utf-8"?>
<sst xmlns="http://schemas.openxmlformats.org/spreadsheetml/2006/main" count="517" uniqueCount="485">
  <si>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</si>
  <si>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</si>
  <si>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</si>
  <si>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</si>
  <si>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</si>
  <si>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</si>
  <si>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</si>
  <si>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</si>
  <si>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</si>
  <si>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</si>
  <si>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</si>
  <si>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</si>
  <si>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</si>
  <si>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</si>
  <si>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</si>
  <si>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</si>
  <si>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</si>
  <si>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</si>
  <si>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</si>
  <si>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</si>
  <si>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</si>
  <si>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</si>
  <si>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</si>
  <si>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</si>
  <si>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</si>
  <si>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</si>
  <si>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</si>
  <si>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</si>
  <si>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</si>
  <si>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</si>
  <si>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</si>
  <si>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</si>
  <si>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</si>
  <si>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</si>
  <si>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</si>
  <si>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</si>
  <si>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</si>
  <si>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</si>
  <si>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</si>
  <si>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</si>
  <si>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</si>
  <si>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</si>
  <si>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</si>
  <si>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</si>
  <si>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</si>
  <si>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</si>
  <si>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</si>
  <si>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</si>
  <si>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</si>
  <si>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</si>
  <si>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</si>
  <si>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</si>
  <si>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</si>
  <si>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</si>
  <si>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</si>
  <si>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</si>
  <si>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</si>
  <si>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</si>
  <si>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</si>
  <si>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</si>
  <si>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</si>
  <si>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</si>
  <si>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</si>
  <si>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</si>
  <si>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</si>
  <si>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</si>
  <si>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</si>
  <si>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</si>
  <si>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</si>
  <si>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</si>
  <si>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</si>
  <si>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</si>
  <si>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</si>
  <si>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</si>
  <si>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</si>
  <si>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</si>
  <si>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</si>
  <si>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</si>
  <si>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</si>
  <si>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</si>
  <si>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</si>
  <si>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</si>
  <si>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</si>
  <si>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</si>
  <si>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</si>
  <si>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</si>
  <si>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</si>
  <si>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</si>
  <si>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</si>
  <si>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</si>
  <si>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</si>
  <si>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</si>
  <si>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</si>
  <si>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</si>
  <si>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</si>
  <si>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</si>
  <si>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</si>
  <si>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</si>
  <si>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</si>
  <si>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</si>
  <si>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</si>
  <si>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</si>
  <si>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</si>
  <si>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</si>
  <si>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</si>
  <si>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</si>
  <si>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</si>
  <si>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</si>
  <si>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</si>
  <si>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</si>
  <si>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</si>
  <si>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</si>
  <si>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</si>
  <si>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</si>
  <si>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</si>
  <si>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</si>
  <si>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</si>
  <si>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</si>
  <si>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</si>
  <si>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</si>
  <si>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</si>
  <si>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</si>
  <si>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</si>
  <si>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</si>
  <si>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</si>
  <si>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</si>
  <si>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</si>
  <si>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</si>
  <si>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</si>
  <si>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</si>
  <si>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</si>
  <si>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</si>
  <si>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</si>
  <si>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</si>
  <si>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</si>
  <si>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</si>
  <si>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</si>
  <si>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</si>
  <si>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</si>
  <si>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</si>
  <si>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</si>
  <si>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</si>
  <si>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</si>
  <si>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</si>
  <si>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</si>
  <si>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</si>
  <si>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</si>
  <si>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</si>
  <si>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</si>
  <si>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</si>
  <si>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</si>
  <si>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</si>
  <si>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</si>
  <si>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</si>
  <si>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</si>
  <si>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</si>
  <si>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</si>
  <si>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</si>
  <si>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</si>
  <si>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</si>
  <si>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</si>
  <si>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</si>
  <si>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</si>
  <si>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</si>
  <si>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</si>
  <si>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</si>
  <si>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</si>
  <si>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</si>
  <si>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</si>
  <si>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</si>
  <si>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</si>
  <si>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</si>
  <si>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</si>
  <si>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</si>
  <si>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</si>
  <si>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</si>
  <si>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</si>
  <si>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</si>
  <si>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</si>
  <si>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</si>
  <si>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</si>
  <si>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</si>
  <si>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</si>
  <si>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</si>
  <si>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</si>
  <si>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</si>
  <si>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</si>
  <si>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</si>
  <si>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</si>
  <si>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</si>
  <si>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</si>
  <si>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</si>
  <si>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</si>
  <si>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</si>
  <si>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</si>
  <si>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</si>
  <si>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</si>
  <si>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</si>
  <si>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</si>
  <si>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</si>
  <si>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</si>
  <si>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</si>
  <si>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</si>
  <si>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</si>
  <si>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</si>
  <si>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</si>
  <si>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</si>
  <si>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</si>
  <si>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</si>
  <si>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</si>
  <si>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</si>
  <si>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</si>
  <si>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</si>
  <si>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</si>
  <si>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</si>
  <si>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</si>
  <si>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</si>
  <si>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</si>
  <si>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</si>
  <si>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</si>
  <si>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</si>
  <si>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</si>
  <si>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</si>
  <si>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</si>
  <si>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</si>
  <si>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</si>
  <si>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</si>
  <si>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</si>
  <si>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</si>
  <si>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</si>
  <si>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</si>
  <si>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</si>
  <si>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</si>
  <si>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</si>
  <si>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</si>
  <si>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</si>
  <si>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</si>
  <si>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</si>
  <si>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</si>
  <si>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</si>
  <si>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</si>
  <si>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</si>
  <si>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</si>
  <si>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</si>
  <si>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</si>
  <si>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</si>
  <si>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</si>
  <si>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</si>
  <si>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</si>
  <si>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</si>
  <si>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</si>
  <si>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</si>
  <si>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</si>
  <si>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</si>
  <si>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</si>
  <si>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</si>
  <si>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</si>
  <si>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</si>
  <si>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</si>
  <si>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</si>
  <si>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</si>
  <si>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</si>
  <si>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</si>
  <si>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</si>
  <si>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</si>
  <si>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</si>
  <si>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</si>
  <si>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</si>
  <si>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</si>
  <si>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</si>
  <si>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</si>
  <si>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</si>
  <si>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</si>
  <si>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</si>
  <si>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</si>
  <si>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</si>
  <si>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</si>
  <si>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</si>
  <si>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</si>
  <si>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</si>
  <si>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</si>
  <si>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</si>
  <si>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</si>
  <si>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</si>
  <si>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</si>
  <si>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</si>
  <si>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</si>
  <si>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</si>
  <si>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</si>
  <si>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</si>
  <si>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</si>
  <si>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</si>
  <si>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</si>
  <si>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</si>
  <si>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</si>
  <si>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</si>
  <si>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</si>
  <si>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</si>
  <si>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</si>
  <si>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</si>
  <si>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</si>
  <si>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</si>
  <si>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</si>
  <si>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</si>
  <si>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</si>
  <si>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</si>
  <si>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</si>
  <si>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</si>
  <si>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</si>
  <si>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</si>
  <si>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</si>
  <si>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</si>
  <si>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</si>
  <si>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</si>
  <si>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</si>
  <si>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</si>
  <si>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</si>
  <si>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</si>
  <si>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</si>
  <si>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</si>
  <si>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</si>
  <si>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</si>
  <si>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</si>
  <si>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</si>
  <si>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</si>
  <si>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</si>
  <si>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</si>
  <si>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</si>
  <si>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</si>
  <si>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</si>
  <si>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</si>
  <si>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</si>
  <si>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</si>
  <si>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</si>
  <si>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</si>
  <si>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</si>
  <si>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</si>
  <si>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</si>
  <si>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</si>
  <si>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</si>
  <si>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</si>
  <si>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</si>
  <si>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</si>
  <si>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</si>
  <si>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</si>
  <si>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</si>
  <si>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</si>
  <si>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</si>
  <si>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</si>
  <si>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</si>
  <si>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</si>
  <si>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</si>
  <si>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</si>
  <si>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</si>
  <si>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</si>
  <si>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</si>
  <si>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</si>
  <si>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</si>
  <si>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</si>
  <si>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</si>
  <si>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</si>
  <si>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</si>
  <si>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</si>
  <si>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</si>
  <si>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</si>
  <si>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</si>
  <si>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</si>
  <si>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</si>
  <si>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</si>
  <si>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</si>
  <si>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</si>
  <si>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</si>
  <si>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</si>
  <si>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</si>
  <si>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</si>
  <si>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</si>
  <si>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</si>
  <si>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</si>
  <si>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</si>
  <si>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</si>
  <si>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</si>
  <si>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</si>
  <si>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</si>
  <si>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</si>
  <si>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</si>
  <si>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</si>
  <si>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</si>
  <si>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</si>
  <si>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</si>
  <si>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</si>
  <si>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</si>
  <si>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</si>
  <si>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</si>
  <si>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</si>
  <si>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</si>
  <si>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</si>
  <si>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</si>
  <si>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</si>
  <si>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</si>
  <si>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</si>
  <si>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</si>
  <si>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</si>
  <si>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</si>
  <si>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</si>
  <si>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</si>
  <si>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</si>
  <si>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</si>
  <si>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</si>
  <si>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</si>
  <si>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</si>
  <si>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</si>
  <si>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</si>
  <si>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</si>
  <si>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</si>
  <si>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</si>
  <si>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</si>
  <si>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</si>
  <si>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</si>
  <si>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</si>
  <si>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</si>
  <si>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</si>
  <si>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</si>
  <si>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</si>
  <si>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</si>
  <si>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</si>
  <si>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</si>
  <si>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</si>
  <si>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</si>
  <si>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</si>
  <si>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</si>
  <si>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</si>
  <si>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</si>
  <si>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</si>
  <si>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</si>
  <si>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</si>
  <si>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</si>
  <si>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</si>
  <si>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</si>
  <si>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</si>
  <si>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</si>
  <si>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</si>
  <si>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</si>
  <si>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</si>
  <si>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</si>
  <si>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</si>
  <si>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</si>
  <si>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</si>
  <si>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</si>
  <si>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</si>
  <si>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r>
      <t xml:space="preserve">REGON zakładu pracy 
</t>
    </r>
    <r>
      <rPr>
        <b/>
        <sz val="10"/>
        <rFont val="Calibri"/>
        <family val="2"/>
        <charset val="238"/>
        <scheme val="minor"/>
      </rPr>
      <t>(14-cyfrowy)</t>
    </r>
  </si>
  <si>
    <r>
      <t xml:space="preserve"> PKD 
</t>
    </r>
    <r>
      <rPr>
        <b/>
        <sz val="10"/>
        <rFont val="Calibri"/>
        <family val="2"/>
        <charset val="238"/>
        <scheme val="minor"/>
      </rPr>
      <t>(4 znaki)</t>
    </r>
  </si>
  <si>
    <r>
      <t xml:space="preserve">Data zgłoszenia informacji do PUP 
</t>
    </r>
    <r>
      <rPr>
        <b/>
        <sz val="10"/>
        <rFont val="Calibri"/>
        <family val="2"/>
        <charset val="238"/>
        <scheme val="minor"/>
      </rPr>
      <t>(dd-mm-rrrr)</t>
    </r>
  </si>
  <si>
    <t>Hubert Samul</t>
  </si>
  <si>
    <t>h.samul@wup.mazowsze.pl</t>
  </si>
  <si>
    <t>48 22 578 44 17</t>
  </si>
  <si>
    <t>4771Z</t>
  </si>
  <si>
    <t xml:space="preserve">BNP Paribas Bank Polska S.A.                  ul. M. Kasprzaka  10/16                           01-211 Warszawa </t>
  </si>
  <si>
    <t>Astellas Pharma                                       ul. Ośmańska 14                                    02-283 Warszawa</t>
  </si>
  <si>
    <t xml:space="preserve"> 012773490</t>
  </si>
  <si>
    <t>4646Z</t>
  </si>
  <si>
    <t>010058960</t>
  </si>
  <si>
    <t>5110Z</t>
  </si>
  <si>
    <t>La MakeUp  Sp. z o.o.                                            ul. Doamniewska 37 lok. 176                                                    03-672 Warszawa</t>
  </si>
  <si>
    <t>4791Z</t>
  </si>
  <si>
    <t xml:space="preserve">TIP Trailer Services Poland                   Sp. z o.o.                                                                ul. Jana Henryka Dąbrowskiego 554                                       60-451 Poznań </t>
  </si>
  <si>
    <t xml:space="preserve"> 016105293</t>
  </si>
  <si>
    <t>7712Z</t>
  </si>
  <si>
    <t>AMW SINEVIA SPÓŁKA Z OGRANICZONĄ ODPOWIEDZIALNOŚCIĄ</t>
  </si>
  <si>
    <t>4299Z</t>
  </si>
  <si>
    <t>TP TELTECH SP. Z O.O.</t>
  </si>
  <si>
    <t>BRAK INFORMACJI</t>
  </si>
  <si>
    <t>01.08.2022-30.11.2022</t>
  </si>
  <si>
    <t>NIE</t>
  </si>
  <si>
    <t>Gminna Spółdzielnia SCh w Mokobodach</t>
  </si>
  <si>
    <t>00039017100000</t>
  </si>
  <si>
    <t>4719Z</t>
  </si>
  <si>
    <t>31.05.2022</t>
  </si>
  <si>
    <t>tak*</t>
  </si>
  <si>
    <t>13.06.2022</t>
  </si>
  <si>
    <t xml:space="preserve">Polskie Linnie Lotnicze LOT S.A.                           ul. Komietu Obrony Robotników 43 02-146 Warszawa </t>
  </si>
  <si>
    <t xml:space="preserve">Poczta Polska S.A.                                                            ul.  Rodziny Hiszpanskich 8                                             00-940 Warszawa </t>
  </si>
  <si>
    <t>010684960</t>
  </si>
  <si>
    <t>5310Z</t>
  </si>
  <si>
    <t>Polska Agencja Żeglugi Powietrznej          ul. Wieżowa 8                                                             02-147 Warszawa</t>
  </si>
  <si>
    <t>5223Z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</si>
</sst>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5]General"/>
  </numFmts>
  <fonts count="19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3E3D40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7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 applyProtection="1">
      <alignment vertical="center" wrapText="1"/>
      <protection locked="0"/>
    </xf>
    <xf numFmtId="1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12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2" fillId="0" borderId="1" xfId="0" applyFont="1" applyFill="1" applyBorder="1"/>
    <xf numFmtId="3" fontId="18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4" fontId="2" fillId="0" borderId="2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0" fillId="0" borderId="1" xfId="0" applyFill="1" applyBorder="1"/>
    <xf numFmtId="14" fontId="2" fillId="0" borderId="1" xfId="0" applyNumberFormat="1" applyFont="1" applyFill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</cellXfs>
  <cellStyles count="6">
    <cellStyle name="Excel Built-in Normal" xfId="4"/>
    <cellStyle name="Hiperłącze" xfId="2" builtinId="8"/>
    <cellStyle name="Hiperłącze 2" xfId="3"/>
    <cellStyle name="Hiperłącze 3" xfId="5"/>
    <cellStyle name="Normalny" xfId="0" builtinId="0"/>
    <cellStyle name="Normalny 2" xfId="1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G39"/>
  <sheetViews>
    <sheetView zoomScale="75" zoomScaleNormal="75" workbookViewId="0">
      <selection activeCell="E8" sqref="E8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1" t="s">
        <v>436</v>
      </c>
    </row>
    <row r="4" spans="3:7" ht="15.75">
      <c r="C4" s="11" t="s">
        <v>263</v>
      </c>
    </row>
    <row r="5" spans="3:7" ht="13.5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286</v>
      </c>
      <c r="E7" s="10"/>
    </row>
    <row r="8" spans="3:7" ht="38.25" customHeight="1" thickBot="1">
      <c r="C8" s="12" t="s">
        <v>293</v>
      </c>
      <c r="D8" s="16">
        <v>2022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452</v>
      </c>
      <c r="E13" s="27" t="s">
        <v>453</v>
      </c>
      <c r="F13" s="28" t="s">
        <v>454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>
      <c r="C20" s="21" t="s">
        <v>279</v>
      </c>
    </row>
    <row r="22" spans="3:6">
      <c r="C22" s="72" t="s">
        <v>438</v>
      </c>
      <c r="D22" s="19"/>
    </row>
    <row r="23" spans="3:6" ht="26.25">
      <c r="C23" s="72"/>
      <c r="D23" s="20" t="s">
        <v>280</v>
      </c>
    </row>
    <row r="24" spans="3:6" ht="28.5" customHeight="1">
      <c r="C24" s="72"/>
    </row>
    <row r="25" spans="3:6">
      <c r="C25" s="22"/>
    </row>
    <row r="26" spans="3:6">
      <c r="C26" s="72" t="s">
        <v>439</v>
      </c>
    </row>
    <row r="27" spans="3:6">
      <c r="C27" s="72"/>
    </row>
    <row r="28" spans="3:6" ht="23.25" customHeight="1">
      <c r="C28" s="72"/>
    </row>
    <row r="29" spans="3:6">
      <c r="C29" s="22"/>
    </row>
    <row r="30" spans="3:6" ht="12.75" customHeight="1">
      <c r="C30" s="72" t="s">
        <v>440</v>
      </c>
    </row>
    <row r="31" spans="3:6" ht="12.75" customHeight="1">
      <c r="C31" s="72"/>
    </row>
    <row r="32" spans="3:6" ht="21.75" customHeight="1">
      <c r="C32" s="72"/>
    </row>
    <row r="33" spans="3:3" ht="14.25" customHeight="1">
      <c r="C33" s="72"/>
    </row>
    <row r="34" spans="3:3">
      <c r="C34" s="72"/>
    </row>
    <row r="35" spans="3:3">
      <c r="C35" s="72"/>
    </row>
    <row r="37" spans="3:3" ht="12.75" customHeight="1">
      <c r="C37" s="72" t="s">
        <v>448</v>
      </c>
    </row>
    <row r="38" spans="3:3" ht="12.75" customHeight="1">
      <c r="C38" s="72"/>
    </row>
    <row r="39" spans="3:3" ht="19.5" customHeight="1">
      <c r="C39" s="72"/>
    </row>
  </sheetData>
  <mergeCells count="4">
    <mergeCell ref="C37:C39"/>
    <mergeCell ref="C22:C24"/>
    <mergeCell ref="C26:C28"/>
    <mergeCell ref="C30:C35"/>
  </mergeCells>
  <hyperlinks>
    <hyperlink ref="E13" r:id="rId1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>
          <x14:formula1>
            <xm:f>listy!$A$1:$P$1</xm:f>
          </x14:formula1>
          <xm:sqref>D6</xm:sqref>
        </x14:dataValidation>
        <x14:dataValidation type="list" showInputMessage="1" showErrorMessage="1" error="Proszę wybrać miesiąc">
          <x14:formula1>
            <xm:f>listy!$T$1:$T$12</xm:f>
          </x14:formula1>
          <xm:sqref>D7</xm:sqref>
        </x14:dataValidation>
        <x14:dataValidation type="list" showInputMessage="1" showErrorMessage="1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"/>
  <sheetViews>
    <sheetView tabSelected="1" view="pageBreakPreview" topLeftCell="A10" zoomScale="70" zoomScaleNormal="100" zoomScaleSheetLayoutView="70" workbookViewId="0">
      <selection activeCell="F14" sqref="F14"/>
    </sheetView>
  </sheetViews>
  <sheetFormatPr defaultColWidth="9.140625" defaultRowHeight="90.75" customHeight="1"/>
  <cols>
    <col min="1" max="1" width="1.85546875" style="29" customWidth="1"/>
    <col min="2" max="3" width="21.5703125" style="30" customWidth="1"/>
    <col min="4" max="4" width="40" style="39" customWidth="1"/>
    <col min="5" max="5" width="25.5703125" style="32" customWidth="1"/>
    <col min="6" max="6" width="17" style="30" customWidth="1"/>
    <col min="7" max="7" width="14.42578125" style="30" customWidth="1"/>
    <col min="8" max="8" width="22.7109375" style="30" customWidth="1"/>
    <col min="9" max="9" width="17.28515625" style="30" customWidth="1"/>
    <col min="10" max="10" width="14.42578125" style="30" customWidth="1"/>
    <col min="11" max="11" width="26.7109375" style="30" customWidth="1"/>
    <col min="12" max="12" width="16.85546875" style="30" customWidth="1"/>
    <col min="13" max="13" width="24.85546875" style="30" customWidth="1"/>
    <col min="14" max="14" width="17.7109375" style="30" customWidth="1"/>
    <col min="15" max="15" width="23.7109375" style="30" customWidth="1"/>
    <col min="16" max="16384" width="9.140625" style="29"/>
  </cols>
  <sheetData>
    <row r="1" spans="1:15" ht="20.100000000000001" customHeight="1">
      <c r="D1" s="31"/>
      <c r="F1" s="33"/>
    </row>
    <row r="2" spans="1:15" ht="20.100000000000001" customHeight="1">
      <c r="B2" s="34" t="s">
        <v>2</v>
      </c>
      <c r="C2" s="35" t="str">
        <f>'Dane podstawowe'!$D$6</f>
        <v>MAZOWIECKIE</v>
      </c>
      <c r="D2" s="36" t="str">
        <f>'Dane podstawowe'!D7</f>
        <v xml:space="preserve">Czerwiec </v>
      </c>
      <c r="E2" s="37">
        <f>'Dane podstawowe'!D8</f>
        <v>2022</v>
      </c>
      <c r="F2" s="38"/>
      <c r="G2" s="38"/>
      <c r="H2" s="38"/>
      <c r="I2" s="38"/>
    </row>
    <row r="3" spans="1:15" ht="20.100000000000001" customHeight="1">
      <c r="E3" s="40"/>
    </row>
    <row r="4" spans="1:15" ht="20.100000000000001" customHeight="1">
      <c r="B4" s="73" t="s">
        <v>430</v>
      </c>
      <c r="C4" s="73"/>
      <c r="D4" s="74"/>
      <c r="E4" s="40"/>
    </row>
    <row r="5" spans="1:15" ht="20.100000000000001" customHeight="1">
      <c r="B5" s="41"/>
      <c r="C5" s="41"/>
      <c r="D5" s="42"/>
      <c r="E5" s="40"/>
    </row>
    <row r="6" spans="1:15" ht="90.75" customHeight="1">
      <c r="B6" s="75" t="s">
        <v>444</v>
      </c>
      <c r="C6" s="75"/>
      <c r="D6" s="75"/>
      <c r="E6" s="75"/>
      <c r="F6" s="75"/>
      <c r="G6" s="76" t="s">
        <v>446</v>
      </c>
      <c r="H6" s="77"/>
      <c r="I6" s="77"/>
      <c r="J6" s="78"/>
      <c r="K6" s="48" t="s">
        <v>447</v>
      </c>
      <c r="L6" s="75" t="s">
        <v>445</v>
      </c>
      <c r="M6" s="75"/>
      <c r="N6" s="75"/>
      <c r="O6" s="43"/>
    </row>
    <row r="7" spans="1:15" ht="90.75" customHeight="1">
      <c r="B7" s="44" t="s">
        <v>1</v>
      </c>
      <c r="C7" s="44" t="s">
        <v>428</v>
      </c>
      <c r="D7" s="45" t="s">
        <v>0</v>
      </c>
      <c r="E7" s="46" t="s">
        <v>449</v>
      </c>
      <c r="F7" s="44" t="s">
        <v>450</v>
      </c>
      <c r="G7" s="44" t="s">
        <v>432</v>
      </c>
      <c r="H7" s="44" t="s">
        <v>435</v>
      </c>
      <c r="I7" s="44" t="s">
        <v>433</v>
      </c>
      <c r="J7" s="44" t="s">
        <v>434</v>
      </c>
      <c r="K7" s="44" t="s">
        <v>431</v>
      </c>
      <c r="L7" s="44" t="s">
        <v>442</v>
      </c>
      <c r="M7" s="44" t="s">
        <v>441</v>
      </c>
      <c r="N7" s="44" t="s">
        <v>443</v>
      </c>
      <c r="O7" s="44" t="s">
        <v>451</v>
      </c>
    </row>
    <row r="8" spans="1:15" ht="50.25" customHeight="1">
      <c r="A8" s="47"/>
      <c r="B8" s="52" t="s">
        <v>64</v>
      </c>
      <c r="C8" s="52" t="s">
        <v>269</v>
      </c>
      <c r="D8" s="49" t="s">
        <v>467</v>
      </c>
      <c r="E8" s="59">
        <v>14298987700000</v>
      </c>
      <c r="F8" s="52" t="s">
        <v>468</v>
      </c>
      <c r="G8" s="55">
        <v>0</v>
      </c>
      <c r="H8" s="55"/>
      <c r="I8" s="55">
        <v>0</v>
      </c>
      <c r="J8" s="55"/>
      <c r="K8" s="55">
        <v>1</v>
      </c>
      <c r="L8" s="55">
        <v>0</v>
      </c>
      <c r="M8" s="55"/>
      <c r="N8" s="55"/>
      <c r="O8" s="50">
        <v>44715</v>
      </c>
    </row>
    <row r="9" spans="1:15" ht="90.75" customHeight="1">
      <c r="A9" s="47"/>
      <c r="B9" s="60" t="s">
        <v>68</v>
      </c>
      <c r="C9" s="61" t="s">
        <v>269</v>
      </c>
      <c r="D9" s="62" t="s">
        <v>469</v>
      </c>
      <c r="E9" s="63">
        <v>472919476</v>
      </c>
      <c r="F9" s="64"/>
      <c r="G9" s="65" t="s">
        <v>470</v>
      </c>
      <c r="H9" s="66" t="s">
        <v>471</v>
      </c>
      <c r="I9" s="65" t="s">
        <v>470</v>
      </c>
      <c r="J9" s="67" t="s">
        <v>472</v>
      </c>
      <c r="K9" s="65" t="s">
        <v>470</v>
      </c>
      <c r="L9" s="68" t="s">
        <v>470</v>
      </c>
      <c r="M9" s="68" t="s">
        <v>470</v>
      </c>
      <c r="N9" s="66" t="s">
        <v>471</v>
      </c>
      <c r="O9" s="69">
        <v>44741</v>
      </c>
    </row>
    <row r="10" spans="1:15" ht="90.75" customHeight="1">
      <c r="A10" s="47"/>
      <c r="B10" s="52" t="s">
        <v>76</v>
      </c>
      <c r="C10" s="52" t="s">
        <v>269</v>
      </c>
      <c r="D10" s="57" t="s">
        <v>473</v>
      </c>
      <c r="E10" s="56" t="s">
        <v>474</v>
      </c>
      <c r="F10" s="52" t="s">
        <v>475</v>
      </c>
      <c r="G10" s="51">
        <v>5</v>
      </c>
      <c r="H10" s="51" t="s">
        <v>476</v>
      </c>
      <c r="I10" s="51">
        <v>5</v>
      </c>
      <c r="J10" s="51" t="s">
        <v>477</v>
      </c>
      <c r="K10" s="51">
        <v>5</v>
      </c>
      <c r="L10" s="51">
        <v>0</v>
      </c>
      <c r="M10" s="51">
        <v>0</v>
      </c>
      <c r="N10" s="51">
        <v>0</v>
      </c>
      <c r="O10" s="50" t="s">
        <v>478</v>
      </c>
    </row>
    <row r="11" spans="1:15" ht="90.75" customHeight="1">
      <c r="A11" s="47"/>
      <c r="B11" s="70" t="s">
        <v>91</v>
      </c>
      <c r="C11" s="70" t="s">
        <v>269</v>
      </c>
      <c r="D11" s="57" t="s">
        <v>456</v>
      </c>
      <c r="E11" s="49">
        <v>10778878</v>
      </c>
      <c r="F11" s="49" t="s">
        <v>455</v>
      </c>
      <c r="G11" s="49">
        <v>0</v>
      </c>
      <c r="H11" s="49">
        <v>0</v>
      </c>
      <c r="I11" s="49">
        <v>0</v>
      </c>
      <c r="J11" s="49">
        <v>0</v>
      </c>
      <c r="K11" s="49">
        <v>46</v>
      </c>
      <c r="L11" s="49">
        <v>0</v>
      </c>
      <c r="M11" s="49">
        <v>0</v>
      </c>
      <c r="N11" s="49">
        <v>0</v>
      </c>
      <c r="O11" s="54">
        <v>44741</v>
      </c>
    </row>
    <row r="12" spans="1:15" ht="90.75" customHeight="1">
      <c r="B12" s="70" t="s">
        <v>91</v>
      </c>
      <c r="C12" s="70" t="s">
        <v>269</v>
      </c>
      <c r="D12" s="57" t="s">
        <v>457</v>
      </c>
      <c r="E12" s="53" t="s">
        <v>458</v>
      </c>
      <c r="F12" s="52" t="s">
        <v>459</v>
      </c>
      <c r="G12" s="71">
        <v>0</v>
      </c>
      <c r="H12" s="71">
        <v>0</v>
      </c>
      <c r="I12" s="71">
        <v>0</v>
      </c>
      <c r="J12" s="71">
        <v>0</v>
      </c>
      <c r="K12" s="52">
        <v>14</v>
      </c>
      <c r="L12" s="49">
        <v>0</v>
      </c>
      <c r="M12" s="49">
        <v>0</v>
      </c>
      <c r="N12" s="49">
        <v>0</v>
      </c>
      <c r="O12" s="58">
        <v>44741</v>
      </c>
    </row>
    <row r="13" spans="1:15" ht="90.75" customHeight="1">
      <c r="B13" s="70" t="s">
        <v>91</v>
      </c>
      <c r="C13" s="70" t="s">
        <v>269</v>
      </c>
      <c r="D13" s="57" t="s">
        <v>462</v>
      </c>
      <c r="E13" s="52">
        <v>363029583</v>
      </c>
      <c r="F13" s="51" t="s">
        <v>463</v>
      </c>
      <c r="G13" s="71">
        <v>0</v>
      </c>
      <c r="H13" s="71">
        <v>0</v>
      </c>
      <c r="I13" s="71">
        <v>0</v>
      </c>
      <c r="J13" s="71">
        <v>0</v>
      </c>
      <c r="K13" s="52">
        <v>1</v>
      </c>
      <c r="L13" s="49">
        <v>0</v>
      </c>
      <c r="M13" s="49">
        <v>0</v>
      </c>
      <c r="N13" s="49">
        <v>0</v>
      </c>
      <c r="O13" s="58">
        <v>44741</v>
      </c>
    </row>
    <row r="14" spans="1:15" ht="90.75" customHeight="1">
      <c r="B14" s="70" t="s">
        <v>91</v>
      </c>
      <c r="C14" s="70" t="s">
        <v>269</v>
      </c>
      <c r="D14" s="57" t="s">
        <v>464</v>
      </c>
      <c r="E14" s="53" t="s">
        <v>465</v>
      </c>
      <c r="F14" s="51" t="s">
        <v>466</v>
      </c>
      <c r="G14" s="71">
        <v>0</v>
      </c>
      <c r="H14" s="71">
        <v>0</v>
      </c>
      <c r="I14" s="71">
        <v>0</v>
      </c>
      <c r="J14" s="71">
        <v>0</v>
      </c>
      <c r="K14" s="52">
        <v>4</v>
      </c>
      <c r="L14" s="49">
        <v>0</v>
      </c>
      <c r="M14" s="49">
        <v>0</v>
      </c>
      <c r="N14" s="49">
        <v>0</v>
      </c>
      <c r="O14" s="58">
        <v>44741</v>
      </c>
    </row>
    <row r="15" spans="1:15" ht="90.75" customHeight="1">
      <c r="B15" s="70" t="s">
        <v>91</v>
      </c>
      <c r="C15" s="70" t="s">
        <v>269</v>
      </c>
      <c r="D15" s="57" t="s">
        <v>479</v>
      </c>
      <c r="E15" s="53" t="s">
        <v>460</v>
      </c>
      <c r="F15" s="52" t="s">
        <v>461</v>
      </c>
      <c r="G15" s="71">
        <v>0</v>
      </c>
      <c r="H15" s="71">
        <v>0</v>
      </c>
      <c r="I15" s="71">
        <v>0</v>
      </c>
      <c r="J15" s="71">
        <v>0</v>
      </c>
      <c r="K15" s="71">
        <v>3</v>
      </c>
      <c r="L15" s="71">
        <v>0</v>
      </c>
      <c r="M15" s="71">
        <v>0</v>
      </c>
      <c r="N15" s="71">
        <v>0</v>
      </c>
      <c r="O15" s="58">
        <v>44743</v>
      </c>
    </row>
    <row r="16" spans="1:15" ht="90.75" customHeight="1">
      <c r="B16" s="70" t="s">
        <v>91</v>
      </c>
      <c r="C16" s="70" t="s">
        <v>269</v>
      </c>
      <c r="D16" s="57" t="s">
        <v>480</v>
      </c>
      <c r="E16" s="49" t="s">
        <v>481</v>
      </c>
      <c r="F16" s="49" t="s">
        <v>482</v>
      </c>
      <c r="G16" s="71">
        <v>0</v>
      </c>
      <c r="H16" s="71">
        <v>0</v>
      </c>
      <c r="I16" s="71">
        <v>0</v>
      </c>
      <c r="J16" s="71">
        <v>0</v>
      </c>
      <c r="K16" s="71">
        <v>1</v>
      </c>
      <c r="L16" s="71">
        <v>0</v>
      </c>
      <c r="M16" s="71">
        <v>0</v>
      </c>
      <c r="N16" s="71">
        <v>0</v>
      </c>
      <c r="O16" s="58">
        <v>44741</v>
      </c>
    </row>
    <row r="17" spans="2:15" ht="90.75" customHeight="1">
      <c r="B17" s="70" t="s">
        <v>91</v>
      </c>
      <c r="C17" s="70" t="s">
        <v>269</v>
      </c>
      <c r="D17" s="57" t="s">
        <v>483</v>
      </c>
      <c r="E17" s="53">
        <v>140886771</v>
      </c>
      <c r="F17" s="51" t="s">
        <v>484</v>
      </c>
      <c r="G17" s="71">
        <v>0</v>
      </c>
      <c r="H17" s="71">
        <v>0</v>
      </c>
      <c r="I17" s="71">
        <v>0</v>
      </c>
      <c r="J17" s="71">
        <v>0</v>
      </c>
      <c r="K17" s="71">
        <v>58</v>
      </c>
      <c r="L17" s="71">
        <v>0</v>
      </c>
      <c r="M17" s="71">
        <v>0</v>
      </c>
      <c r="N17" s="71">
        <v>0</v>
      </c>
      <c r="O17" s="58">
        <v>44742</v>
      </c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dataValidations count="1">
    <dataValidation type="textLength" operator="equal" allowBlank="1" showInputMessage="1" showErrorMessage="1" prompt="Proszę wpisać REGON w formacie XXXXXXXXXXXXXX - 14 cyfrowy" sqref="E8">
      <formula1>14</formula1>
    </dataValidation>
  </dataValidations>
  <pageMargins left="0.70866141732283472" right="0.70866141732283472" top="0.74803149606299213" bottom="0.74803149606299213" header="0.31496062992125984" footer="0.31496062992125984"/>
  <pageSetup paperSize="9" scale="4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4" customWidth="1"/>
    <col min="23" max="23" width="16.14062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HSamul</cp:lastModifiedBy>
  <cp:lastPrinted>2020-08-05T11:40:15Z</cp:lastPrinted>
  <dcterms:created xsi:type="dcterms:W3CDTF">2009-02-04T13:09:17Z</dcterms:created>
  <dcterms:modified xsi:type="dcterms:W3CDTF">2022-07-12T10:46:23Z</dcterms:modified>
</cp:coreProperties>
</file>
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157BED16-9D75-4996-A585-00CBDD970EC7}" xr6:coauthVersionLast="47" xr6:coauthVersionMax="47" xr10:uidLastSave="{00000000-0000-0000-0000-000000000000}"/>
  <bookViews>
    <workbookView xWindow="-28920" yWindow="14025" windowWidth="29040" windowHeight="157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dane!$A$1:$O$26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5" l="1"/>
  <c r="K27" i="5"/>
  <c r="R48" i="5" l="1"/>
  <c r="E2" i="5"/>
  <c r="D2" i="5"/>
  <c r="C2" i="5" l="1"/>
</calcChain>
</file>

<file path=xl/sharedStrings.xml><?xml version="1.0" encoding="utf-8"?>
<sst xmlns="http://schemas.openxmlformats.org/spreadsheetml/2006/main" count="549" uniqueCount="505">
  <si>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</si>
  <si>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</si>
  <si>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</si>
  <si>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</si>
  <si>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</si>
  <si>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</si>
  <si>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</si>
  <si>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</si>
  <si>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</si>
  <si>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</si>
  <si>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</si>
  <si>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</si>
  <si>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</si>
  <si>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</si>
  <si>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</si>
  <si>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</si>
  <si>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</si>
  <si>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</si>
  <si>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</si>
  <si>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</si>
  <si>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</si>
  <si>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</si>
  <si>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</si>
  <si>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</si>
  <si>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</si>
  <si>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</si>
  <si>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</si>
  <si>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</si>
  <si>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</si>
  <si>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</si>
  <si>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</si>
  <si>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</si>
  <si>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</si>
  <si>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</si>
  <si>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</si>
  <si>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</si>
  <si>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</si>
  <si>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</si>
  <si>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</si>
  <si>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</si>
  <si>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</si>
  <si>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</si>
  <si>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</si>
  <si>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</si>
  <si>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</si>
  <si>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</si>
  <si>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</si>
  <si>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</si>
  <si>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</si>
  <si>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</si>
  <si>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</si>
  <si>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</si>
  <si>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</si>
  <si>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</si>
  <si>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</si>
  <si>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</si>
  <si>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</si>
  <si>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</si>
  <si>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</si>
  <si>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</si>
  <si>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</si>
  <si>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</si>
  <si>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</si>
  <si>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</si>
  <si>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</si>
  <si>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</si>
  <si>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</si>
  <si>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</si>
  <si>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</si>
  <si>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</si>
  <si>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</si>
  <si>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</si>
  <si>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</si>
  <si>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</si>
  <si>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</si>
  <si>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</si>
  <si>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</si>
  <si>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</si>
  <si>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</si>
  <si>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</si>
  <si>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</si>
  <si>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</si>
  <si>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</si>
  <si>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</si>
  <si>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</si>
  <si>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</si>
  <si>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</si>
  <si>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</si>
  <si>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</si>
  <si>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</si>
  <si>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</si>
  <si>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</si>
  <si>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</si>
  <si>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</si>
  <si>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</si>
  <si>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</si>
  <si>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</si>
  <si>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</si>
  <si>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</si>
  <si>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</si>
  <si>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</si>
  <si>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</si>
  <si>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</si>
  <si>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</si>
  <si>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</si>
  <si>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</si>
  <si>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</si>
  <si>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</si>
  <si>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</si>
  <si>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</si>
  <si>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</si>
  <si>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</si>
  <si>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</si>
  <si>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</si>
  <si>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</si>
  <si>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</si>
  <si>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</si>
  <si>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</si>
  <si>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</si>
  <si>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</si>
  <si>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</si>
  <si>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</si>
  <si>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</si>
  <si>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</si>
  <si>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</si>
  <si>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</si>
  <si>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</si>
  <si>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</si>
  <si>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</si>
  <si>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</si>
  <si>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</si>
  <si>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</si>
  <si>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</si>
  <si>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</si>
  <si>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</si>
  <si>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</si>
  <si>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</si>
  <si>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</si>
  <si>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</si>
  <si>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</si>
  <si>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</si>
  <si>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</si>
  <si>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</si>
  <si>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</si>
  <si>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</si>
  <si>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</si>
  <si>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</si>
  <si>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</si>
  <si>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</si>
  <si>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</si>
  <si>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</si>
  <si>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</si>
  <si>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</si>
  <si>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</si>
  <si>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</si>
  <si>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</si>
  <si>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</si>
  <si>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</si>
  <si>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</si>
  <si>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</si>
  <si>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</si>
  <si>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</si>
  <si>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</si>
  <si>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</si>
  <si>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</si>
  <si>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</si>
  <si>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</si>
  <si>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</si>
  <si>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</si>
  <si>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</si>
  <si>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</si>
  <si>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</si>
  <si>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</si>
  <si>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</si>
  <si>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</si>
  <si>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</si>
  <si>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</si>
  <si>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</si>
  <si>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</si>
  <si>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</si>
  <si>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</si>
  <si>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</si>
  <si>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</si>
  <si>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</si>
  <si>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</si>
  <si>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</si>
  <si>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</si>
  <si>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</si>
  <si>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</si>
  <si>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</si>
  <si>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</si>
  <si>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</si>
  <si>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</si>
  <si>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</si>
  <si>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</si>
  <si>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</si>
  <si>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</si>
  <si>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</si>
  <si>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</si>
  <si>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</si>
  <si>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</si>
  <si>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</si>
  <si>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</si>
  <si>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</si>
  <si>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</si>
  <si>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</si>
  <si>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</si>
  <si>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</si>
  <si>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</si>
  <si>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</si>
  <si>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</si>
  <si>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</si>
  <si>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</si>
  <si>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</si>
  <si>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</si>
  <si>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</si>
  <si>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</si>
  <si>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</si>
  <si>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</si>
  <si>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</si>
  <si>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</si>
  <si>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</si>
  <si>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</si>
  <si>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</si>
  <si>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</si>
  <si>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</si>
  <si>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</si>
  <si>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</si>
  <si>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</si>
  <si>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</si>
  <si>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</si>
  <si>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</si>
  <si>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</si>
  <si>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</si>
  <si>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</si>
  <si>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</si>
  <si>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</si>
  <si>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</si>
  <si>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</si>
  <si>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</si>
  <si>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</si>
  <si>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</si>
  <si>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</si>
  <si>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</si>
  <si>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</si>
  <si>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</si>
  <si>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</si>
  <si>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</si>
  <si>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</si>
  <si>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</si>
  <si>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</si>
  <si>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</si>
  <si>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</si>
  <si>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</si>
  <si>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</si>
  <si>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</si>
  <si>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</si>
  <si>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</si>
  <si>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</si>
  <si>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</si>
  <si>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</si>
  <si>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</si>
  <si>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</si>
  <si>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</si>
  <si>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</si>
  <si>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</si>
  <si>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</si>
  <si>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</si>
  <si>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</si>
  <si>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</si>
  <si>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</si>
  <si>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</si>
  <si>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</si>
  <si>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</si>
  <si>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</si>
  <si>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</si>
  <si>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</si>
  <si>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</si>
  <si>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</si>
  <si>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</si>
  <si>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</si>
  <si>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</si>
  <si>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</si>
  <si>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</si>
  <si>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</si>
  <si>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</si>
  <si>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</si>
  <si>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</si>
  <si>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</si>
  <si>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</si>
  <si>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</si>
  <si>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</si>
  <si>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</si>
  <si>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</si>
  <si>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</si>
  <si>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</si>
  <si>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</si>
  <si>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</si>
  <si>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</si>
  <si>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</si>
  <si>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</si>
  <si>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</si>
  <si>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</si>
  <si>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</si>
  <si>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</si>
  <si>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</si>
  <si>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</si>
  <si>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</si>
  <si>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</si>
  <si>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</si>
  <si>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</si>
  <si>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</si>
  <si>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</si>
  <si>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</si>
  <si>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</si>
  <si>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</si>
  <si>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</si>
  <si>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</si>
  <si>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</si>
  <si>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</si>
  <si>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</si>
  <si>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</si>
  <si>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</si>
  <si>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</si>
  <si>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</si>
  <si>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</si>
  <si>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</si>
  <si>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</si>
  <si>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</si>
  <si>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</si>
  <si>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</si>
  <si>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</si>
  <si>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</si>
  <si>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</si>
  <si>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</si>
  <si>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</si>
  <si>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</si>
  <si>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</si>
  <si>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</si>
  <si>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</si>
  <si>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</si>
  <si>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</si>
  <si>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</si>
  <si>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</si>
  <si>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</si>
  <si>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</si>
  <si>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</si>
  <si>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</si>
  <si>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</si>
  <si>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</si>
  <si>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</si>
  <si>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</si>
  <si>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</si>
  <si>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</si>
  <si>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</si>
  <si>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</si>
  <si>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</si>
  <si>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</si>
  <si>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</si>
  <si>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</si>
  <si>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</si>
  <si>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</si>
  <si>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</si>
  <si>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</si>
  <si>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</si>
  <si>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</si>
  <si>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</si>
  <si>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</si>
  <si>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</si>
  <si>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</si>
  <si>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</si>
  <si>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</si>
  <si>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</si>
  <si>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</si>
  <si>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</si>
  <si>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</si>
  <si>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</si>
  <si>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</si>
  <si>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</si>
  <si>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</si>
  <si>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</si>
  <si>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</si>
  <si>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</si>
  <si>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</si>
  <si>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</si>
  <si>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</si>
  <si>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</si>
  <si>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</si>
  <si>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</si>
  <si>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</si>
  <si>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</si>
  <si>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</si>
  <si>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</si>
  <si>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</si>
  <si>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</si>
  <si>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</si>
  <si>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</si>
  <si>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</si>
  <si>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</si>
  <si>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</si>
  <si>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</si>
  <si>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</si>
  <si>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</si>
  <si>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</si>
  <si>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</si>
  <si>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</si>
  <si>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</si>
  <si>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</si>
  <si>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</si>
  <si>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</si>
  <si>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</si>
  <si>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</si>
  <si>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</si>
  <si>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</si>
  <si>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</si>
  <si>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</si>
  <si>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</si>
  <si>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</si>
  <si>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</si>
  <si>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</si>
  <si>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</si>
  <si>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</si>
  <si>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</si>
  <si>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</si>
  <si>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</si>
  <si>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</si>
  <si>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</si>
  <si>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</si>
  <si>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</si>
  <si>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</si>
  <si>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</si>
  <si>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</si>
  <si>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</si>
  <si>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</si>
  <si>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</si>
  <si>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</si>
  <si>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</si>
  <si>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</si>
  <si>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</si>
  <si>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</si>
  <si>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</si>
  <si>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</si>
  <si>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</si>
  <si>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</si>
  <si>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</si>
  <si>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</si>
  <si>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</si>
  <si>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</si>
  <si>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</si>
  <si>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</si>
  <si>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</si>
  <si>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</si>
  <si>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</si>
  <si>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48 22 578 44 17</t>
  </si>
  <si>
    <t>h.samul@wup.mazowsze.pl</t>
  </si>
  <si>
    <t>mazowieckie</t>
  </si>
  <si>
    <t>nie</t>
  </si>
  <si>
    <t>Pfizer Polska Sp. z o.o                         ul. Żwirki i Figury 16B                                    02-092 Warszawa</t>
  </si>
  <si>
    <t>011225176</t>
  </si>
  <si>
    <t>7311Z</t>
  </si>
  <si>
    <t>4771Z</t>
  </si>
  <si>
    <t xml:space="preserve">BNP Paribas Bank Polska S.A.                            ul. M. Kasprzaka  10/16                                              01-211 Warszawa </t>
  </si>
  <si>
    <t xml:space="preserve">  010778878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</si>
  <si>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</si>
  <si>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140718341</t>
  </si>
  <si>
    <t>6120Z</t>
  </si>
  <si>
    <t>Granna Sp. z o.o.                                          ul. Księcia Ziemowita 47                                                                                        03-788 Warszawa</t>
  </si>
  <si>
    <t xml:space="preserve">  016344939</t>
  </si>
  <si>
    <t>1814Z</t>
  </si>
  <si>
    <t>Stora Enso Poland S.A.</t>
  </si>
  <si>
    <t>17.12.Z</t>
  </si>
  <si>
    <t>02.04.2024 r.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</si>
  <si>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</si>
  <si>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6619Z</t>
  </si>
  <si>
    <t xml:space="preserve">02.2024 r. - 03.2025 r. </t>
  </si>
  <si>
    <t xml:space="preserve">Pracodawca poinformował, że program outplacmentowy będzie realizowany  przy współpracy z firmą zewnetrzną. W ramach tego programu oferowane będą usługi pośrednictwo pracy, poradnictwo zawodowe </t>
  </si>
  <si>
    <t>AIR DISPATCH (CLC) Sp. z o.o.                     ul.Bokserska 66                                    02-690  Warszawa</t>
  </si>
  <si>
    <t>5223Z</t>
  </si>
  <si>
    <t>03-06.2024 r.</t>
  </si>
  <si>
    <t>Centrum GovTech                                        Al. Jana Christiana Szucha 25                               00-918  Warszawa</t>
  </si>
  <si>
    <t>6311Z</t>
  </si>
  <si>
    <t>tak</t>
  </si>
  <si>
    <t>Akademia Sztuki Wojennej                                Al. gen. A. Chruściela "Montera"  103                                                               00-910  Warszawa</t>
  </si>
  <si>
    <t>8542Z</t>
  </si>
  <si>
    <t>System Gazociągów Tranzytowych EuRoPol GAZ S.A.                                   ul.Topiel 12                                                                                                                              00-342 Warszawa</t>
  </si>
  <si>
    <t>010407343</t>
  </si>
  <si>
    <t>4950A</t>
  </si>
  <si>
    <t>Warszawskie Zakłady Farmaceutyczne Polfa Spółka Akcyjna                                            ul. Karolkowa 22/24                                             01-207 Warszawa</t>
  </si>
  <si>
    <t>000043937</t>
  </si>
  <si>
    <t>2120Z</t>
  </si>
  <si>
    <t>Oriflame Poland Sp. z o.o.                           ul.Wołowska 22                                     02-675 Warszawa</t>
  </si>
  <si>
    <t>002197604</t>
  </si>
  <si>
    <t>4645Z</t>
  </si>
  <si>
    <t>Carrefour Polska                                       ul. Targowa 72                                          03-734 Warszawa</t>
  </si>
  <si>
    <t>070569406</t>
  </si>
  <si>
    <t>4711Z</t>
  </si>
  <si>
    <t>Frontiers Open Science Sp. z o.o.                 Al. Ujazdowskie 41                                           00-540 Warszawa</t>
  </si>
  <si>
    <t>388437271</t>
  </si>
  <si>
    <t>6201Z</t>
  </si>
  <si>
    <t>Barbora Polska         Sp. z o.o.</t>
  </si>
  <si>
    <t>387770531</t>
  </si>
  <si>
    <t>4791Z</t>
  </si>
  <si>
    <t>Keller Polska                   Sp. z o.o.</t>
  </si>
  <si>
    <t>011841640</t>
  </si>
  <si>
    <t>4211Z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</si>
</sst>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5]General"/>
  </numFmts>
  <fonts count="24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charset val="238"/>
    </font>
    <font>
      <sz val="10"/>
      <color rgb="FF424242"/>
      <name val="Calibri"/>
      <family val="2"/>
      <charset val="238"/>
      <scheme val="minor"/>
    </font>
    <font>
      <sz val="10"/>
      <color rgb="FF000000"/>
      <name val="Arial"/>
    </font>
    <font>
      <sz val="11"/>
      <color rgb="FFFF0000"/>
      <name val="Arial"/>
      <family val="2"/>
      <charset val="238"/>
    </font>
    <font>
      <sz val="11"/>
      <color rgb="FF4D5156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106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49" fontId="23" fillId="0" borderId="1" xfId="0" applyNumberFormat="1" applyFont="1" applyBorder="1"/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10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Normalny" xfId="0" builtinId="0"/>
    <cellStyle name="Normalny 2" xfId="1" xr:uid="{00000000-0005-0000-0000-000004000000}"/>
    <cellStyle name="Normalny 3" xfId="9" xr:uid="{8A5988CB-BBF9-435C-BF6D-3EAB49A0F372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283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454</v>
      </c>
      <c r="F13" s="28" t="s">
        <v>453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99" t="s">
        <v>438</v>
      </c>
      <c r="D22" s="19"/>
    </row>
    <row r="23" spans="3:6" ht="26">
      <c r="C23" s="99"/>
      <c r="D23" s="20" t="s">
        <v>280</v>
      </c>
    </row>
    <row r="24" spans="3:6" ht="28.5" customHeight="1">
      <c r="C24" s="99"/>
    </row>
    <row r="25" spans="3:6">
      <c r="C25" s="22"/>
    </row>
    <row r="26" spans="3:6">
      <c r="C26" s="99" t="s">
        <v>439</v>
      </c>
    </row>
    <row r="27" spans="3:6">
      <c r="C27" s="99"/>
    </row>
    <row r="28" spans="3:6" ht="23.25" customHeight="1">
      <c r="C28" s="99"/>
    </row>
    <row r="29" spans="3:6">
      <c r="C29" s="22"/>
    </row>
    <row r="30" spans="3:6" ht="12.75" customHeight="1">
      <c r="C30" s="99" t="s">
        <v>440</v>
      </c>
    </row>
    <row r="31" spans="3:6" ht="12.75" customHeight="1">
      <c r="C31" s="99"/>
    </row>
    <row r="32" spans="3:6" ht="21.75" customHeight="1">
      <c r="C32" s="99"/>
    </row>
    <row r="33" spans="3:3" ht="14.25" customHeight="1">
      <c r="C33" s="99"/>
    </row>
    <row r="34" spans="3:3">
      <c r="C34" s="99"/>
    </row>
    <row r="35" spans="3:3">
      <c r="C35" s="99"/>
    </row>
    <row r="37" spans="3:3" ht="12.75" customHeight="1">
      <c r="C37" s="99" t="s">
        <v>448</v>
      </c>
    </row>
    <row r="38" spans="3:3" ht="12.75" customHeight="1">
      <c r="C38" s="99"/>
    </row>
    <row r="39" spans="3:3" ht="19.5" customHeight="1">
      <c r="C39" s="99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2"/>
  <sheetViews>
    <sheetView tabSelected="1" topLeftCell="A16" zoomScale="80" zoomScaleNormal="80" zoomScaleSheetLayoutView="100" workbookViewId="0">
      <selection activeCell="H20" sqref="H20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9" customWidth="1"/>
    <col min="5" max="5" width="25.54296875" style="32" customWidth="1"/>
    <col min="6" max="6" width="13.1796875" style="30" customWidth="1"/>
    <col min="7" max="7" width="14.453125" style="30" customWidth="1"/>
    <col min="8" max="8" width="22.7265625" style="30" customWidth="1"/>
    <col min="9" max="9" width="17.26953125" style="30" customWidth="1"/>
    <col min="10" max="10" width="14.453125" style="30" customWidth="1"/>
    <col min="11" max="11" width="26.7265625" style="30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33"/>
    </row>
    <row r="2" spans="2:15" ht="20.149999999999999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Marzec </v>
      </c>
      <c r="E2" s="37">
        <f>'Dane podstawowe'!D8</f>
        <v>2024</v>
      </c>
      <c r="F2" s="38"/>
      <c r="G2" s="38"/>
      <c r="H2" s="38"/>
      <c r="I2" s="38"/>
    </row>
    <row r="3" spans="2:15" ht="20.149999999999999" customHeight="1">
      <c r="E3" s="40"/>
    </row>
    <row r="4" spans="2:15" ht="20.149999999999999" customHeight="1">
      <c r="B4" s="100" t="s">
        <v>430</v>
      </c>
      <c r="C4" s="100"/>
      <c r="D4" s="101"/>
      <c r="E4" s="40"/>
    </row>
    <row r="5" spans="2:15" ht="20.149999999999999" customHeight="1">
      <c r="B5" s="41"/>
      <c r="C5" s="41"/>
      <c r="D5" s="42"/>
      <c r="E5" s="40"/>
    </row>
    <row r="6" spans="2:15" ht="90.75" customHeight="1">
      <c r="B6" s="102" t="s">
        <v>444</v>
      </c>
      <c r="C6" s="102"/>
      <c r="D6" s="102"/>
      <c r="E6" s="102"/>
      <c r="F6" s="102"/>
      <c r="G6" s="103" t="s">
        <v>446</v>
      </c>
      <c r="H6" s="104"/>
      <c r="I6" s="104"/>
      <c r="J6" s="105"/>
      <c r="K6" s="47" t="s">
        <v>447</v>
      </c>
      <c r="L6" s="102" t="s">
        <v>445</v>
      </c>
      <c r="M6" s="102"/>
      <c r="N6" s="102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s="30" customFormat="1" ht="47.25" customHeight="1">
      <c r="B8" s="67" t="s">
        <v>87</v>
      </c>
      <c r="C8" s="67" t="s">
        <v>269</v>
      </c>
      <c r="D8" s="66" t="s">
        <v>469</v>
      </c>
      <c r="E8" s="65">
        <v>550412627</v>
      </c>
      <c r="F8" s="67" t="s">
        <v>470</v>
      </c>
      <c r="G8" s="68">
        <v>0</v>
      </c>
      <c r="H8" s="68"/>
      <c r="I8" s="68">
        <v>0</v>
      </c>
      <c r="J8" s="68"/>
      <c r="K8" s="68">
        <v>4</v>
      </c>
      <c r="L8" s="68">
        <v>0</v>
      </c>
      <c r="M8" s="68">
        <v>0</v>
      </c>
      <c r="N8" s="68"/>
      <c r="O8" s="69" t="s">
        <v>471</v>
      </c>
    </row>
    <row r="9" spans="2:15" ht="48" customHeight="1">
      <c r="B9" s="73" t="s">
        <v>91</v>
      </c>
      <c r="C9" s="73" t="s">
        <v>269</v>
      </c>
      <c r="D9" s="75" t="s">
        <v>472</v>
      </c>
      <c r="E9" s="76">
        <v>140225259</v>
      </c>
      <c r="F9" s="73" t="s">
        <v>473</v>
      </c>
      <c r="G9" s="77">
        <v>485</v>
      </c>
      <c r="H9" s="78" t="s">
        <v>474</v>
      </c>
      <c r="I9" s="77">
        <v>0</v>
      </c>
      <c r="J9" s="77" t="s">
        <v>456</v>
      </c>
      <c r="K9" s="77"/>
      <c r="L9" s="77">
        <v>485</v>
      </c>
      <c r="M9" s="78" t="s">
        <v>475</v>
      </c>
      <c r="N9" s="78"/>
      <c r="O9" s="86">
        <v>45358</v>
      </c>
    </row>
    <row r="10" spans="2:15" ht="48" customHeight="1">
      <c r="B10" s="70" t="s">
        <v>91</v>
      </c>
      <c r="C10" s="70" t="s">
        <v>269</v>
      </c>
      <c r="D10" s="75" t="s">
        <v>476</v>
      </c>
      <c r="E10" s="79">
        <v>145879994</v>
      </c>
      <c r="F10" s="79" t="s">
        <v>477</v>
      </c>
      <c r="G10" s="79">
        <v>39</v>
      </c>
      <c r="H10" s="78" t="s">
        <v>478</v>
      </c>
      <c r="I10" s="78">
        <v>0</v>
      </c>
      <c r="J10" s="78" t="s">
        <v>456</v>
      </c>
      <c r="K10" s="78"/>
      <c r="L10" s="78"/>
      <c r="M10" s="78"/>
      <c r="N10" s="78"/>
      <c r="O10" s="86">
        <v>45359</v>
      </c>
    </row>
    <row r="11" spans="2:15" ht="48" customHeight="1">
      <c r="B11" s="70" t="s">
        <v>91</v>
      </c>
      <c r="C11" s="70" t="s">
        <v>269</v>
      </c>
      <c r="D11" s="75" t="s">
        <v>479</v>
      </c>
      <c r="E11" s="79">
        <v>388128759</v>
      </c>
      <c r="F11" s="79" t="s">
        <v>480</v>
      </c>
      <c r="G11" s="79">
        <v>83</v>
      </c>
      <c r="H11" s="78" t="s">
        <v>478</v>
      </c>
      <c r="I11" s="78">
        <v>0</v>
      </c>
      <c r="J11" s="78" t="s">
        <v>481</v>
      </c>
      <c r="K11" s="78"/>
      <c r="L11" s="78"/>
      <c r="M11" s="78"/>
      <c r="N11" s="78"/>
      <c r="O11" s="86">
        <v>45371</v>
      </c>
    </row>
    <row r="12" spans="2:15" ht="48" customHeight="1">
      <c r="B12" s="70" t="s">
        <v>91</v>
      </c>
      <c r="C12" s="70" t="s">
        <v>269</v>
      </c>
      <c r="D12" s="74" t="s">
        <v>482</v>
      </c>
      <c r="E12" s="71">
        <v>11574244</v>
      </c>
      <c r="F12" s="71" t="s">
        <v>483</v>
      </c>
      <c r="G12" s="80">
        <v>50</v>
      </c>
      <c r="H12" s="81" t="s">
        <v>478</v>
      </c>
      <c r="I12" s="80">
        <v>0</v>
      </c>
      <c r="J12" s="80" t="s">
        <v>456</v>
      </c>
      <c r="K12" s="82"/>
      <c r="L12" s="82"/>
      <c r="M12" s="83"/>
      <c r="N12" s="83"/>
      <c r="O12" s="87">
        <v>45373</v>
      </c>
    </row>
    <row r="13" spans="2:15" ht="48" customHeight="1">
      <c r="B13" s="70" t="s">
        <v>91</v>
      </c>
      <c r="C13" s="70" t="s">
        <v>269</v>
      </c>
      <c r="D13" s="84" t="s">
        <v>461</v>
      </c>
      <c r="E13" s="85" t="s">
        <v>462</v>
      </c>
      <c r="F13" s="85" t="s">
        <v>460</v>
      </c>
      <c r="G13" s="71">
        <v>0</v>
      </c>
      <c r="H13" s="71">
        <v>0</v>
      </c>
      <c r="I13" s="71">
        <v>0</v>
      </c>
      <c r="J13" s="71">
        <v>0</v>
      </c>
      <c r="K13" s="71">
        <v>23</v>
      </c>
      <c r="L13" s="71">
        <v>0</v>
      </c>
      <c r="M13" s="71">
        <v>0</v>
      </c>
      <c r="N13" s="71">
        <v>0</v>
      </c>
      <c r="O13" s="72">
        <v>45384</v>
      </c>
    </row>
    <row r="14" spans="2:15" ht="48" customHeight="1">
      <c r="B14" s="70" t="s">
        <v>91</v>
      </c>
      <c r="C14" s="70" t="s">
        <v>269</v>
      </c>
      <c r="D14" s="74" t="s">
        <v>463</v>
      </c>
      <c r="E14" s="71" t="s">
        <v>464</v>
      </c>
      <c r="F14" s="71" t="s">
        <v>465</v>
      </c>
      <c r="G14" s="71">
        <v>0</v>
      </c>
      <c r="H14" s="71">
        <v>0</v>
      </c>
      <c r="I14" s="71">
        <v>0</v>
      </c>
      <c r="J14" s="71">
        <v>0</v>
      </c>
      <c r="K14" s="71">
        <v>40</v>
      </c>
      <c r="L14" s="71">
        <v>0</v>
      </c>
      <c r="M14" s="71">
        <v>0</v>
      </c>
      <c r="N14" s="71">
        <v>0</v>
      </c>
      <c r="O14" s="72">
        <v>45384</v>
      </c>
    </row>
    <row r="15" spans="2:15" ht="48" customHeight="1">
      <c r="B15" s="70" t="s">
        <v>91</v>
      </c>
      <c r="C15" s="70" t="s">
        <v>269</v>
      </c>
      <c r="D15" s="74" t="s">
        <v>484</v>
      </c>
      <c r="E15" s="71" t="s">
        <v>485</v>
      </c>
      <c r="F15" s="71" t="s">
        <v>486</v>
      </c>
      <c r="G15" s="71">
        <v>0</v>
      </c>
      <c r="H15" s="71">
        <v>0</v>
      </c>
      <c r="I15" s="71">
        <v>0</v>
      </c>
      <c r="J15" s="71">
        <v>0</v>
      </c>
      <c r="K15" s="71">
        <v>12</v>
      </c>
      <c r="L15" s="71">
        <v>0</v>
      </c>
      <c r="M15" s="71">
        <v>0</v>
      </c>
      <c r="N15" s="71">
        <v>0</v>
      </c>
      <c r="O15" s="72">
        <v>45373</v>
      </c>
    </row>
    <row r="16" spans="2:15" ht="48" customHeight="1">
      <c r="B16" s="70" t="s">
        <v>91</v>
      </c>
      <c r="C16" s="70" t="s">
        <v>269</v>
      </c>
      <c r="D16" s="74" t="s">
        <v>466</v>
      </c>
      <c r="E16" s="88" t="s">
        <v>467</v>
      </c>
      <c r="F16" s="70" t="s">
        <v>468</v>
      </c>
      <c r="G16" s="71">
        <v>0</v>
      </c>
      <c r="H16" s="71">
        <v>0</v>
      </c>
      <c r="I16" s="71">
        <v>0</v>
      </c>
      <c r="J16" s="71">
        <v>0</v>
      </c>
      <c r="K16" s="71">
        <v>11</v>
      </c>
      <c r="L16" s="71">
        <v>0</v>
      </c>
      <c r="M16" s="71">
        <v>0</v>
      </c>
      <c r="N16" s="71">
        <v>0</v>
      </c>
      <c r="O16" s="72">
        <v>45377</v>
      </c>
    </row>
    <row r="17" spans="2:16" ht="48" customHeight="1">
      <c r="B17" s="70" t="s">
        <v>91</v>
      </c>
      <c r="C17" s="70" t="s">
        <v>269</v>
      </c>
      <c r="D17" s="74" t="s">
        <v>487</v>
      </c>
      <c r="E17" s="89" t="s">
        <v>488</v>
      </c>
      <c r="F17" s="70" t="s">
        <v>489</v>
      </c>
      <c r="G17" s="71">
        <v>0</v>
      </c>
      <c r="H17" s="71">
        <v>0</v>
      </c>
      <c r="I17" s="71">
        <v>0</v>
      </c>
      <c r="J17" s="71">
        <v>0</v>
      </c>
      <c r="K17" s="71">
        <v>44</v>
      </c>
      <c r="L17" s="71">
        <v>0</v>
      </c>
      <c r="M17" s="71">
        <v>0</v>
      </c>
      <c r="N17" s="71">
        <v>0</v>
      </c>
      <c r="O17" s="72">
        <v>45378</v>
      </c>
    </row>
    <row r="18" spans="2:16" ht="48" customHeight="1">
      <c r="B18" s="70" t="s">
        <v>91</v>
      </c>
      <c r="C18" s="70" t="s">
        <v>269</v>
      </c>
      <c r="D18" s="74" t="s">
        <v>490</v>
      </c>
      <c r="E18" s="89" t="s">
        <v>491</v>
      </c>
      <c r="F18" s="70" t="s">
        <v>492</v>
      </c>
      <c r="G18" s="71">
        <v>0</v>
      </c>
      <c r="H18" s="71">
        <v>0</v>
      </c>
      <c r="I18" s="71">
        <v>0</v>
      </c>
      <c r="J18" s="71">
        <v>0</v>
      </c>
      <c r="K18" s="71">
        <v>2</v>
      </c>
      <c r="L18" s="71">
        <v>0</v>
      </c>
      <c r="M18" s="71">
        <v>0</v>
      </c>
      <c r="N18" s="71">
        <v>0</v>
      </c>
      <c r="O18" s="72">
        <v>45377</v>
      </c>
    </row>
    <row r="19" spans="2:16" ht="60.75" customHeight="1">
      <c r="B19" s="70" t="s">
        <v>91</v>
      </c>
      <c r="C19" s="70" t="s">
        <v>269</v>
      </c>
      <c r="D19" s="74" t="s">
        <v>493</v>
      </c>
      <c r="E19" s="89" t="s">
        <v>494</v>
      </c>
      <c r="F19" s="70" t="s">
        <v>495</v>
      </c>
      <c r="G19" s="71">
        <v>0</v>
      </c>
      <c r="H19" s="71">
        <v>0</v>
      </c>
      <c r="I19" s="71">
        <v>0</v>
      </c>
      <c r="J19" s="71">
        <v>0</v>
      </c>
      <c r="K19" s="71">
        <v>88</v>
      </c>
      <c r="L19" s="71">
        <v>0</v>
      </c>
      <c r="M19" s="71">
        <v>0</v>
      </c>
      <c r="N19" s="71">
        <v>0</v>
      </c>
      <c r="O19" s="72">
        <v>45377</v>
      </c>
    </row>
    <row r="20" spans="2:16" ht="63" customHeight="1">
      <c r="B20" s="70" t="s">
        <v>91</v>
      </c>
      <c r="C20" s="70" t="s">
        <v>269</v>
      </c>
      <c r="D20" s="74" t="s">
        <v>496</v>
      </c>
      <c r="E20" s="89" t="s">
        <v>497</v>
      </c>
      <c r="F20" s="70" t="s">
        <v>498</v>
      </c>
      <c r="G20" s="71">
        <v>0</v>
      </c>
      <c r="H20" s="71">
        <v>0</v>
      </c>
      <c r="I20" s="71">
        <v>0</v>
      </c>
      <c r="J20" s="71">
        <v>0</v>
      </c>
      <c r="K20" s="71">
        <v>17</v>
      </c>
      <c r="L20" s="71">
        <v>0</v>
      </c>
      <c r="M20" s="71">
        <v>0</v>
      </c>
      <c r="N20" s="71">
        <v>0</v>
      </c>
      <c r="O20" s="72">
        <v>45378</v>
      </c>
    </row>
    <row r="21" spans="2:16" ht="45.75" customHeight="1">
      <c r="B21" s="70" t="s">
        <v>91</v>
      </c>
      <c r="C21" s="70" t="s">
        <v>269</v>
      </c>
      <c r="D21" s="74" t="s">
        <v>457</v>
      </c>
      <c r="E21" s="89" t="s">
        <v>458</v>
      </c>
      <c r="F21" s="70" t="s">
        <v>459</v>
      </c>
      <c r="G21" s="71">
        <v>0</v>
      </c>
      <c r="H21" s="71">
        <v>0</v>
      </c>
      <c r="I21" s="71">
        <v>0</v>
      </c>
      <c r="J21" s="71">
        <v>0</v>
      </c>
      <c r="K21" s="71">
        <v>34</v>
      </c>
      <c r="L21" s="71">
        <v>0</v>
      </c>
      <c r="M21" s="71">
        <v>0</v>
      </c>
      <c r="N21" s="71">
        <v>0</v>
      </c>
      <c r="O21" s="72">
        <v>45379</v>
      </c>
    </row>
    <row r="22" spans="2:16" ht="51" customHeight="1">
      <c r="B22" s="97" t="s">
        <v>92</v>
      </c>
      <c r="C22" s="97" t="s">
        <v>455</v>
      </c>
      <c r="D22" s="90" t="s">
        <v>499</v>
      </c>
      <c r="E22" s="98" t="s">
        <v>500</v>
      </c>
      <c r="F22" s="91" t="s">
        <v>501</v>
      </c>
      <c r="G22" s="91">
        <v>125</v>
      </c>
      <c r="H22" s="95">
        <v>45535</v>
      </c>
      <c r="I22" s="92">
        <v>0</v>
      </c>
      <c r="J22" s="94" t="s">
        <v>481</v>
      </c>
      <c r="K22" s="92">
        <v>0</v>
      </c>
      <c r="L22" s="96"/>
      <c r="M22" s="92"/>
      <c r="N22" s="92"/>
      <c r="O22" s="95">
        <v>45358</v>
      </c>
    </row>
    <row r="23" spans="2:16" ht="51" customHeight="1">
      <c r="B23" s="97" t="s">
        <v>92</v>
      </c>
      <c r="C23" s="97" t="s">
        <v>455</v>
      </c>
      <c r="D23" s="90" t="s">
        <v>502</v>
      </c>
      <c r="E23" s="98" t="s">
        <v>503</v>
      </c>
      <c r="F23" s="91" t="s">
        <v>504</v>
      </c>
      <c r="G23" s="91">
        <v>32</v>
      </c>
      <c r="H23" s="95">
        <v>45382</v>
      </c>
      <c r="I23" s="92">
        <v>0</v>
      </c>
      <c r="J23" s="92" t="s">
        <v>456</v>
      </c>
      <c r="K23" s="92">
        <v>32</v>
      </c>
      <c r="L23" s="92"/>
      <c r="M23" s="92"/>
      <c r="N23" s="92"/>
      <c r="O23" s="93">
        <v>45376</v>
      </c>
    </row>
    <row r="24" spans="2:16" ht="45" customHeight="1">
      <c r="B24" s="60"/>
      <c r="C24" s="60"/>
      <c r="D24" s="61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3"/>
    </row>
    <row r="25" spans="2:16" ht="45" customHeight="1">
      <c r="B25" s="60"/>
      <c r="C25" s="60"/>
      <c r="D25" s="61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3"/>
    </row>
    <row r="26" spans="2:16" ht="45" customHeight="1">
      <c r="B26" s="57"/>
      <c r="C26" s="57"/>
      <c r="D26" s="58"/>
      <c r="E26" s="64"/>
      <c r="F26" s="57"/>
      <c r="G26" s="57"/>
      <c r="H26" s="57"/>
      <c r="I26" s="57"/>
      <c r="J26" s="57"/>
      <c r="K26" s="57"/>
      <c r="L26" s="57"/>
      <c r="M26" s="57"/>
      <c r="N26" s="57"/>
      <c r="O26" s="59"/>
    </row>
    <row r="27" spans="2:16" ht="14">
      <c r="B27" s="49"/>
      <c r="C27" s="49"/>
      <c r="D27" s="50"/>
      <c r="E27" s="53"/>
      <c r="F27" s="52"/>
      <c r="G27" s="48">
        <f>SUM(G8:G26)</f>
        <v>814</v>
      </c>
      <c r="H27" s="48"/>
      <c r="I27" s="48"/>
      <c r="J27" s="48"/>
      <c r="K27" s="48">
        <f>SUM(K8:K26)</f>
        <v>307</v>
      </c>
      <c r="L27" s="48"/>
      <c r="M27" s="48"/>
      <c r="N27" s="48"/>
      <c r="O27" s="48"/>
      <c r="P27" s="54"/>
    </row>
    <row r="28" spans="2:16" ht="14.5">
      <c r="B28" s="55"/>
      <c r="C28" s="49"/>
      <c r="D28" s="50"/>
      <c r="E28" s="56"/>
      <c r="F28" s="52"/>
      <c r="G28" s="54"/>
      <c r="H28" s="48"/>
      <c r="I28" s="48"/>
      <c r="J28" s="48"/>
      <c r="K28" s="52"/>
      <c r="L28" s="48"/>
      <c r="M28" s="48"/>
      <c r="N28" s="48"/>
      <c r="O28" s="51"/>
      <c r="P28" s="54"/>
    </row>
    <row r="29" spans="2:16" ht="13"/>
    <row r="30" spans="2:16" ht="13"/>
    <row r="31" spans="2:16" ht="13"/>
    <row r="32" spans="2:16" ht="13"/>
    <row r="33" spans="18:18" ht="13"/>
    <row r="34" spans="18:18" ht="13"/>
    <row r="35" spans="18:18" ht="13"/>
    <row r="36" spans="18:18" ht="13"/>
    <row r="37" spans="18:18" ht="13"/>
    <row r="38" spans="18:18" ht="13"/>
    <row r="39" spans="18:18" ht="13"/>
    <row r="40" spans="18:18" ht="13"/>
    <row r="41" spans="18:18" ht="13"/>
    <row r="42" spans="18:18" ht="13"/>
    <row r="43" spans="18:18" ht="13"/>
    <row r="44" spans="18:18" ht="13"/>
    <row r="45" spans="18:18" ht="13"/>
    <row r="46" spans="18:18" ht="13"/>
    <row r="47" spans="18:18" ht="13">
      <c r="R47" s="29">
        <v>2348</v>
      </c>
    </row>
    <row r="48" spans="18:18" ht="13">
      <c r="R48" s="29">
        <f>R47-G27</f>
        <v>1534</v>
      </c>
    </row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2024-04-15T11:20:16Z</dcterms:modified>
</cp:coreProperties>
</file>